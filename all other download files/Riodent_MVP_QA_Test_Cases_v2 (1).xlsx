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st Cases" sheetId="2" state="visible" r:id="rId4"/>
    <sheet name="Issues &amp; Changes" sheetId="3" state="visible" r:id="rId5"/>
  </sheets>
  <definedNames>
    <definedName function="false" hidden="true" localSheetId="1" name="_xlnm._FilterDatabase" vbProcedure="false">'Test Cases'!$A$1:$L$242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<sst xmlns="http://schemas.openxmlformats.org/spreadsheetml/2006/main" count="2353" uniqueCount="1124">
  <si>
    <t xml:space="preserve">RioDent MVP - QA Test Plan v2</t>
  </si>
  <si>
    <t xml:space="preserve">Updated for: Google-first sign-up, no phone OTP, no images, Hyderabad-only address, time slots, doctor-closes-with-amount, cancel reasons, admin dashboard, 1 lakh scale, Firebase prod release.</t>
  </si>
  <si>
    <t xml:space="preserve">Execution dashboard (updates from the Status column in 'Test Cases')</t>
  </si>
  <si>
    <t xml:space="preserve">Module</t>
  </si>
  <si>
    <t xml:space="preserve">Total</t>
  </si>
  <si>
    <t xml:space="preserve">Pass</t>
  </si>
  <si>
    <t xml:space="preserve">Fail</t>
  </si>
  <si>
    <t xml:space="preserve">Blocked</t>
  </si>
  <si>
    <t xml:space="preserve">Not Run</t>
  </si>
  <si>
    <t xml:space="preserve">% Pass</t>
  </si>
  <si>
    <t xml:space="preserve">Auth - Doctor</t>
  </si>
  <si>
    <t xml:space="preserve">Auth - Admin</t>
  </si>
  <si>
    <t xml:space="preserve">Profile</t>
  </si>
  <si>
    <t xml:space="preserve">Doctor - Home</t>
  </si>
  <si>
    <t xml:space="preserve">Doctor - Booking</t>
  </si>
  <si>
    <t xml:space="preserve">Time Slots</t>
  </si>
  <si>
    <t xml:space="preserve">Doctor - Requests</t>
  </si>
  <si>
    <t xml:space="preserve">Admin - Bookings</t>
  </si>
  <si>
    <t xml:space="preserve">Admin - Dashboard</t>
  </si>
  <si>
    <t xml:space="preserve">Admin - Doctors, Technicians, Settings</t>
  </si>
  <si>
    <t xml:space="preserve">End-to-End</t>
  </si>
  <si>
    <t xml:space="preserve">UI Quality</t>
  </si>
  <si>
    <t xml:space="preserve">Security &amp; Rules</t>
  </si>
  <si>
    <t xml:space="preserve">Performance &amp; Scale</t>
  </si>
  <si>
    <t xml:space="preserve">Device &amp; Compatibility</t>
  </si>
  <si>
    <t xml:space="preserve">Release &amp; Deployment</t>
  </si>
  <si>
    <t xml:space="preserve">Play Store &amp; Privacy</t>
  </si>
  <si>
    <t xml:space="preserve">TOTAL</t>
  </si>
  <si>
    <t xml:space="preserve">Smoke cases (run after every change)</t>
  </si>
  <si>
    <t xml:space="preserve">P0 cases not yet passed</t>
  </si>
  <si>
    <t xml:space="preserve">Release gate: all P0 = Pass, all Smoke + Regression = Pass, no open Critical/High issue.</t>
  </si>
  <si>
    <t xml:space="preserve">Priority: P0 blocker, P1 important, P2 nice-to-have. Suite: Smoke = quick check after every change, Regression = full run before release.</t>
  </si>
  <si>
    <t xml:space="preserve">Fill 'Actual Result' and 'Status' (dropdown) while testing. Statuses: Not Run, Pass, Fail, Blocked.</t>
  </si>
  <si>
    <t xml:space="preserve">ID</t>
  </si>
  <si>
    <t xml:space="preserve">Type</t>
  </si>
  <si>
    <t xml:space="preserve">Priority</t>
  </si>
  <si>
    <t xml:space="preserve">Suite</t>
  </si>
  <si>
    <t xml:space="preserve">Test Case</t>
  </si>
  <si>
    <t xml:space="preserve">Steps</t>
  </si>
  <si>
    <t xml:space="preserve">Expected Result</t>
  </si>
  <si>
    <t xml:space="preserve">Actual Result</t>
  </si>
  <si>
    <t xml:space="preserve">Notes</t>
  </si>
  <si>
    <t xml:space="preserve">Bug / Ref</t>
  </si>
  <si>
    <t xml:space="preserve">Status</t>
  </si>
  <si>
    <t xml:space="preserve">AUTH-01</t>
  </si>
  <si>
    <t xml:space="preserve">Positive</t>
  </si>
  <si>
    <t xml:space="preserve">P0</t>
  </si>
  <si>
    <t xml:space="preserve">Smoke</t>
  </si>
  <si>
    <t xml:space="preserve">Google sign-up (new doctor) lands on Home</t>
  </si>
  <si>
    <t xml:space="preserve">1. Fresh install
2. Tap Continue with Google
3. Pick a new Google account</t>
  </si>
  <si>
    <t xml:space="preserve">Account created; goes straight to Home (no profile-setup screen); name from Google shown</t>
  </si>
  <si>
    <t xml:space="preserve">AUTH-02</t>
  </si>
  <si>
    <t xml:space="preserve">Google sign-in (returning doctor) opens same account</t>
  </si>
  <si>
    <t xml:space="preserve">1. Sign out
2. Continue with Google using same account</t>
  </si>
  <si>
    <t xml:space="preserve">Same uid, same requests and profile as before</t>
  </si>
  <si>
    <t xml:space="preserve">AUTH-03</t>
  </si>
  <si>
    <t xml:space="preserve">Negative</t>
  </si>
  <si>
    <t xml:space="preserve">P2</t>
  </si>
  <si>
    <t xml:space="preserve">Regression</t>
  </si>
  <si>
    <t xml:space="preserve">Google picker cancelled</t>
  </si>
  <si>
    <t xml:space="preserve">1. Tap Continue with Google
2. Dismiss picker</t>
  </si>
  <si>
    <t xml:space="preserve">Back on login, no error loop, button works again</t>
  </si>
  <si>
    <t xml:space="preserve">AUTH-04</t>
  </si>
  <si>
    <t xml:space="preserve">P1</t>
  </si>
  <si>
    <t xml:space="preserve">Google sign-in with no internet</t>
  </si>
  <si>
    <t xml:space="preserve">1. Airplane mode
2. Tap Continue with Google</t>
  </si>
  <si>
    <t xml:space="preserve">Friendly 'no internet' message; no crash</t>
  </si>
  <si>
    <t xml:space="preserve">AUTH-05</t>
  </si>
  <si>
    <t xml:space="preserve">Email registration goes straight to Home</t>
  </si>
  <si>
    <t xml:space="preserve">1. Register tab: name, clinic, email, password(6+)
2. Tap Register</t>
  </si>
  <si>
    <t xml:space="preserve">Account created; opens Home directly</t>
  </si>
  <si>
    <t xml:space="preserve">AUTH-06</t>
  </si>
  <si>
    <t xml:space="preserve">Register with empty name / clinic / email / password</t>
  </si>
  <si>
    <t xml:space="preserve">Submit each field empty in turn</t>
  </si>
  <si>
    <t xml:space="preserve">Inline 'is required' error for each; nothing created</t>
  </si>
  <si>
    <t xml:space="preserve">AUTH-07</t>
  </si>
  <si>
    <t xml:space="preserve">Invalid email formats rejected</t>
  </si>
  <si>
    <t xml:space="preserve">Try: abc, abc@, abc@com, @x.com, a b@c.com</t>
  </si>
  <si>
    <t xml:space="preserve">'Enter a valid email address'</t>
  </si>
  <si>
    <t xml:space="preserve">AUTH-08</t>
  </si>
  <si>
    <t xml:space="preserve">Edge</t>
  </si>
  <si>
    <t xml:space="preserve">Valid email with long ending accepted</t>
  </si>
  <si>
    <t xml:space="preserve">Register with doctor@smilecare.dental, x@clinic.health, y@dr.clinic</t>
  </si>
  <si>
    <t xml:space="preserve">All accepted (old rule allowed only 2-4 letters)</t>
  </si>
  <si>
    <t xml:space="preserve">AUTH-09</t>
  </si>
  <si>
    <t xml:space="preserve">Password shorter than 6 rejected; exactly 6 accepted</t>
  </si>
  <si>
    <t xml:space="preserve">Try 'abc12' then 'abc123'</t>
  </si>
  <si>
    <t xml:space="preserve">5 chars rejected with message; 6 chars accepted</t>
  </si>
  <si>
    <t xml:space="preserve">AUTH-10</t>
  </si>
  <si>
    <t xml:space="preserve">Register with an existing email</t>
  </si>
  <si>
    <t xml:space="preserve">Register again with a used email</t>
  </si>
  <si>
    <t xml:space="preserve">'An account already exists... switch to Sign In'</t>
  </si>
  <si>
    <t xml:space="preserve">AUTH-11</t>
  </si>
  <si>
    <t xml:space="preserve">Email sign-in with valid credentials</t>
  </si>
  <si>
    <t xml:space="preserve">Sign in with registered email + password</t>
  </si>
  <si>
    <t xml:space="preserve">Opens Home with correct data</t>
  </si>
  <si>
    <t xml:space="preserve">AUTH-12</t>
  </si>
  <si>
    <t xml:space="preserve">Wrong password</t>
  </si>
  <si>
    <t xml:space="preserve">Sign in with wrong password</t>
  </si>
  <si>
    <t xml:space="preserve">'Incorrect email or password' ; stays on login</t>
  </si>
  <si>
    <t xml:space="preserve">AUTH-13</t>
  </si>
  <si>
    <t xml:space="preserve">Unknown email</t>
  </si>
  <si>
    <t xml:space="preserve">Sign in with unregistered email</t>
  </si>
  <si>
    <t xml:space="preserve">Friendly error, no crash</t>
  </si>
  <si>
    <t xml:space="preserve">AUTH-14</t>
  </si>
  <si>
    <t xml:space="preserve">Forgot password</t>
  </si>
  <si>
    <t xml:space="preserve">1. Enter email
2. Tap Forgot password</t>
  </si>
  <si>
    <t xml:space="preserve">Reset link sent message; link works; old password stops working</t>
  </si>
  <si>
    <t xml:space="preserve">AUTH-15</t>
  </si>
  <si>
    <t xml:space="preserve">Forgot password with empty email</t>
  </si>
  <si>
    <t xml:space="preserve">Tap Forgot password with email blank</t>
  </si>
  <si>
    <t xml:space="preserve">Asks for email first</t>
  </si>
  <si>
    <t xml:space="preserve">AUTH-16</t>
  </si>
  <si>
    <t xml:space="preserve">Email with spaces / capital letters</t>
  </si>
  <si>
    <t xml:space="preserve">Sign in with ' Doctor@Clinic.COM '</t>
  </si>
  <si>
    <t xml:space="preserve">Trimmed; login works</t>
  </si>
  <si>
    <t xml:space="preserve">AUTH-17</t>
  </si>
  <si>
    <t xml:space="preserve">Session persists after app kill and phone reboot</t>
  </si>
  <si>
    <t xml:space="preserve">1. Sign in
2. Force-close app
3. Reboot phone
4. Open app</t>
  </si>
  <si>
    <t xml:space="preserve">Opens directly on Home with the SAME account; no login screen</t>
  </si>
  <si>
    <t xml:space="preserve">AUTH-18</t>
  </si>
  <si>
    <t xml:space="preserve">Same account after reinstall</t>
  </si>
  <si>
    <t xml:space="preserve">1. Uninstall and reinstall
2. Sign in with same Google/email</t>
  </si>
  <si>
    <t xml:space="preserve">Same data (requests, profile) restored</t>
  </si>
  <si>
    <t xml:space="preserve">AUTH-19</t>
  </si>
  <si>
    <t xml:space="preserve">Sign out clears state</t>
  </si>
  <si>
    <t xml:space="preserve">1. Sign out
2. Press Back
3. Sign in with another account</t>
  </si>
  <si>
    <t xml:space="preserve">Back does not reopen app; second account sees none of the first account's data</t>
  </si>
  <si>
    <t xml:space="preserve">AUTH-20</t>
  </si>
  <si>
    <t xml:space="preserve">Disabled account</t>
  </si>
  <si>
    <t xml:space="preserve">Disable user in Firebase console, then sign in</t>
  </si>
  <si>
    <t xml:space="preserve">'Account disabled, contact support'</t>
  </si>
  <si>
    <t xml:space="preserve">AUTH-21</t>
  </si>
  <si>
    <t xml:space="preserve">Too many failed attempts</t>
  </si>
  <si>
    <t xml:space="preserve">Wrong password 8-10 times</t>
  </si>
  <si>
    <t xml:space="preserve">'Too many attempts' message; app responsive</t>
  </si>
  <si>
    <t xml:space="preserve">AUTH-22</t>
  </si>
  <si>
    <t xml:space="preserve">Phone OTP removed</t>
  </si>
  <si>
    <t xml:space="preserve">Open login screen and all auth screens</t>
  </si>
  <si>
    <t xml:space="preserve">No phone/OTP tab, no 'Fill test phone/OTP' buttons, no /otp route</t>
  </si>
  <si>
    <t xml:space="preserve">AUTH-23</t>
  </si>
  <si>
    <t xml:space="preserve">Security</t>
  </si>
  <si>
    <t xml:space="preserve">No admin link or test logins on doctor login</t>
  </si>
  <si>
    <t xml:space="preserve">Inspect login screen</t>
  </si>
  <si>
    <t xml:space="preserve">No 'Admin Portal' link, no 1-Click Admin/Doctor buttons, no prefilled credentials</t>
  </si>
  <si>
    <t xml:space="preserve">AUTH-24</t>
  </si>
  <si>
    <t xml:space="preserve">Login and register screens have no overflow</t>
  </si>
  <si>
    <t xml:space="preserve">Open at 320x568 and 360x640; open keyboard; font scale 1.3</t>
  </si>
  <si>
    <t xml:space="preserve">No yellow-black stripes; form scrolls; buttons reachable</t>
  </si>
  <si>
    <t xml:space="preserve">ADA-01</t>
  </si>
  <si>
    <t xml:space="preserve">Admin signs in with Google admin email</t>
  </si>
  <si>
    <t xml:space="preserve">Sign in with the admin Gmail (has admin claim)</t>
  </si>
  <si>
    <t xml:space="preserve">Lands on Admin Dashboard</t>
  </si>
  <si>
    <t xml:space="preserve">ADA-02</t>
  </si>
  <si>
    <t xml:space="preserve">Admin email/password (verified email)</t>
  </si>
  <si>
    <t xml:space="preserve">Sign in with admin email+password</t>
  </si>
  <si>
    <t xml:space="preserve">ADA-03</t>
  </si>
  <si>
    <t xml:space="preserve">Non-admin never reaches admin</t>
  </si>
  <si>
    <t xml:space="preserve">Sign in as a doctor; try opening /admin and sub-routes</t>
  </si>
  <si>
    <t xml:space="preserve">Redirected to doctor Home; no admin data</t>
  </si>
  <si>
    <t xml:space="preserve">ADA-04</t>
  </si>
  <si>
    <t xml:space="preserve">Unverified-email admin is blocked</t>
  </si>
  <si>
    <t xml:space="preserve">Admin email/password account with email not verified</t>
  </si>
  <si>
    <t xml:space="preserve">Cannot read admin data / not routed to admin</t>
  </si>
  <si>
    <t xml:space="preserve">ADA-05</t>
  </si>
  <si>
    <t xml:space="preserve">Keep me signed in</t>
  </si>
  <si>
    <t xml:space="preserve">Sign in as admin; kill app; reopen</t>
  </si>
  <si>
    <t xml:space="preserve">Still signed in on Admin</t>
  </si>
  <si>
    <t xml:space="preserve">ADA-06</t>
  </si>
  <si>
    <t xml:space="preserve">Change password sends link to Gmail</t>
  </si>
  <si>
    <t xml:space="preserve">As email/password admin: Change password</t>
  </si>
  <si>
    <t xml:space="preserve">Reset email received; new password works; old fails</t>
  </si>
  <si>
    <t xml:space="preserve">ADA-07</t>
  </si>
  <si>
    <t xml:space="preserve">Google admin has no password option</t>
  </si>
  <si>
    <t xml:space="preserve">Open admin settings as Google admin</t>
  </si>
  <si>
    <t xml:space="preserve">Shows 'Managed by Google'</t>
  </si>
  <si>
    <t xml:space="preserve">ADA-08</t>
  </si>
  <si>
    <t xml:space="preserve">Removing admin claim removes access</t>
  </si>
  <si>
    <t xml:space="preserve">Remove claim; re-login or wait for token refresh</t>
  </si>
  <si>
    <t xml:space="preserve">Access to admin lost; routed as doctor</t>
  </si>
  <si>
    <t xml:space="preserve">ADA-09</t>
  </si>
  <si>
    <t xml:space="preserve">Admin cannot open doctor booking routes</t>
  </si>
  <si>
    <t xml:space="preserve">Signed in as admin; open /dentist/book</t>
  </si>
  <si>
    <t xml:space="preserve">Redirected to /admin</t>
  </si>
  <si>
    <t xml:space="preserve">ADA-10</t>
  </si>
  <si>
    <t xml:space="preserve">Admin sign out</t>
  </si>
  <si>
    <t xml:space="preserve">Tap Sign out; press Back</t>
  </si>
  <si>
    <t xml:space="preserve">Returns to login; Back does not reopen admin</t>
  </si>
  <si>
    <t xml:space="preserve">ADA-11</t>
  </si>
  <si>
    <t xml:space="preserve">No client-side admin creation / hardcoded admin creds</t>
  </si>
  <si>
    <t xml:space="preserve">Review code and release APK strings</t>
  </si>
  <si>
    <t xml:space="preserve">No admin password or demo password in app; no admin sign-up code</t>
  </si>
  <si>
    <t xml:space="preserve">PRF-01</t>
  </si>
  <si>
    <t xml:space="preserve">Profile screen shows details</t>
  </si>
  <si>
    <t xml:space="preserve">Open Profile</t>
  </si>
  <si>
    <t xml:space="preserve">Name, clinic, mobile, support phone, Privacy Policy, Terms, Sign out, Delete account visible</t>
  </si>
  <si>
    <t xml:space="preserve">PRF-02</t>
  </si>
  <si>
    <t xml:space="preserve">First booking saves clinic, mobile, address to profile</t>
  </si>
  <si>
    <t xml:space="preserve">Complete first booking; start a second</t>
  </si>
  <si>
    <t xml:space="preserve">Second booking form prefilled with saved clinic, mobile, address</t>
  </si>
  <si>
    <t xml:space="preserve">PRF-03</t>
  </si>
  <si>
    <t xml:space="preserve">Edit profile</t>
  </si>
  <si>
    <t xml:space="preserve">Change clinic name and mobile; save</t>
  </si>
  <si>
    <t xml:space="preserve">Saved; used in next booking</t>
  </si>
  <si>
    <t xml:space="preserve">PRF-04</t>
  </si>
  <si>
    <t xml:space="preserve">Profile mobile validation</t>
  </si>
  <si>
    <t xml:space="preserve">Enter invalid mobile in profile</t>
  </si>
  <si>
    <t xml:space="preserve">Rejected with message</t>
  </si>
  <si>
    <t xml:space="preserve">PRF-05</t>
  </si>
  <si>
    <t xml:space="preserve">Delete my account</t>
  </si>
  <si>
    <t xml:space="preserve">Delete account and confirm</t>
  </si>
  <si>
    <t xml:space="preserve">Account and personal data removed or anonymised; signed out; cannot sign in with old data</t>
  </si>
  <si>
    <t xml:space="preserve">PRF-06</t>
  </si>
  <si>
    <t xml:space="preserve">Privacy Policy and Terms links open</t>
  </si>
  <si>
    <t xml:space="preserve">Tap each link</t>
  </si>
  <si>
    <t xml:space="preserve">Pages open in browser; URLs are live</t>
  </si>
  <si>
    <t xml:space="preserve">HOME-01</t>
  </si>
  <si>
    <t xml:space="preserve">Status summary tiles show correct live counts</t>
  </si>
  <si>
    <t xml:space="preserve">Have 1 request in each of Pending, Assigned, In progress, Completed; open Home</t>
  </si>
  <si>
    <t xml:space="preserve">Tiles show 1 each</t>
  </si>
  <si>
    <t xml:space="preserve">HOME-02</t>
  </si>
  <si>
    <t xml:space="preserve">Each tile opens My Requests with that filter</t>
  </si>
  <si>
    <t xml:space="preserve">Tap each tile</t>
  </si>
  <si>
    <t xml:space="preserve">List opens already filtered to that status and shows the right requests</t>
  </si>
  <si>
    <t xml:space="preserve">HOME-03</t>
  </si>
  <si>
    <t xml:space="preserve">Active requests shows ALL active, not just one</t>
  </si>
  <si>
    <t xml:space="preserve">Have 3 active requests</t>
  </si>
  <si>
    <t xml:space="preserve">All 3 listed (max 5, then 'View all')</t>
  </si>
  <si>
    <t xml:space="preserve">HOME-04</t>
  </si>
  <si>
    <t xml:space="preserve">My Service History opens full list</t>
  </si>
  <si>
    <t xml:space="preserve">Tap My Service History</t>
  </si>
  <si>
    <t xml:space="preserve">Opens My Requests with filter All; the history is different from the active list</t>
  </si>
  <si>
    <t xml:space="preserve">HOME-05</t>
  </si>
  <si>
    <t xml:space="preserve">Category tile preselects category</t>
  </si>
  <si>
    <t xml:space="preserve">Tap each category tile (Dental Chair ... Suction)</t>
  </si>
  <si>
    <t xml:space="preserve">Booking form opens with that category preselected; no error screen</t>
  </si>
  <si>
    <t xml:space="preserve">HOME-06</t>
  </si>
  <si>
    <t xml:space="preserve">Live update when admin changes status</t>
  </si>
  <si>
    <t xml:space="preserve">Keep Home open; admin assigns technician</t>
  </si>
  <si>
    <t xml:space="preserve">Counts and cards update without refresh</t>
  </si>
  <si>
    <t xml:space="preserve">HOME-07</t>
  </si>
  <si>
    <t xml:space="preserve">Empty state for new doctor</t>
  </si>
  <si>
    <t xml:space="preserve">Open Home with no requests</t>
  </si>
  <si>
    <t xml:space="preserve">Friendly empty state; tiles show 0</t>
  </si>
  <si>
    <t xml:space="preserve">HOME-08</t>
  </si>
  <si>
    <t xml:space="preserve">Cancelled requests are reachable</t>
  </si>
  <si>
    <t xml:space="preserve">Cancel a request; use Home / history</t>
  </si>
  <si>
    <t xml:space="preserve">Cancelled filter in My Requests shows it</t>
  </si>
  <si>
    <t xml:space="preserve">HOME-09</t>
  </si>
  <si>
    <t xml:space="preserve">No overflow on Home</t>
  </si>
  <si>
    <t xml:space="preserve">Check at small sizes, font scale, dark mode</t>
  </si>
  <si>
    <t xml:space="preserve">No yellow-black stripes</t>
  </si>
  <si>
    <t xml:space="preserve">HOME-10</t>
  </si>
  <si>
    <t xml:space="preserve">Support phone visible</t>
  </si>
  <si>
    <t xml:space="preserve">Open Home / Profile</t>
  </si>
  <si>
    <t xml:space="preserve">Support number shown; tapping opens dialer</t>
  </si>
  <si>
    <t xml:space="preserve">BKG-01</t>
  </si>
  <si>
    <t xml:space="preserve">Category dropdown works for every category</t>
  </si>
  <si>
    <t xml:space="preserve">Open booking; select each category one by one</t>
  </si>
  <si>
    <t xml:space="preserve">Each is selectable; no 'exactly one item with value' assertion; no red error screen</t>
  </si>
  <si>
    <t xml:space="preserve">BKG-02</t>
  </si>
  <si>
    <t xml:space="preserve">Duplicate category in config does not crash</t>
  </si>
  <si>
    <t xml:space="preserve">Put the same category twice in Firestore config; open booking</t>
  </si>
  <si>
    <t xml:space="preserve">Shown once; no crash</t>
  </si>
  <si>
    <t xml:space="preserve">BKG-03</t>
  </si>
  <si>
    <t xml:space="preserve">Category removed while form is open</t>
  </si>
  <si>
    <t xml:space="preserve">Select a category; admin deactivates it; keep editing</t>
  </si>
  <si>
    <t xml:space="preserve">Selection cleared with a message; no crash</t>
  </si>
  <si>
    <t xml:space="preserve">BKG-04</t>
  </si>
  <si>
    <t xml:space="preserve">Empty category config</t>
  </si>
  <si>
    <t xml:space="preserve">Set issueTypes to empty list</t>
  </si>
  <si>
    <t xml:space="preserve">Friendly message; no crash</t>
  </si>
  <si>
    <t xml:space="preserve">BKG-05</t>
  </si>
  <si>
    <t xml:space="preserve">Description accepts any words</t>
  </si>
  <si>
    <t xml:space="preserve">Enter 'AC leak', then 'x'</t>
  </si>
  <si>
    <t xml:space="preserve">Accepted (no 10-character minimum)</t>
  </si>
  <si>
    <t xml:space="preserve">BKG-06</t>
  </si>
  <si>
    <t xml:space="preserve">Empty or spaces-only description rejected</t>
  </si>
  <si>
    <t xml:space="preserve">Leave empty; enter 15 spaces</t>
  </si>
  <si>
    <t xml:space="preserve">'Description is required'</t>
  </si>
  <si>
    <t xml:space="preserve">BKG-07</t>
  </si>
  <si>
    <t xml:space="preserve">Maximum 500 characters</t>
  </si>
  <si>
    <t xml:space="preserve">Paste 600 characters</t>
  </si>
  <si>
    <t xml:space="preserve">Limited to 500 or clear error</t>
  </si>
  <si>
    <t xml:space="preserve">BKG-08</t>
  </si>
  <si>
    <t xml:space="preserve">Unicode and emoji description</t>
  </si>
  <si>
    <t xml:space="preserve">Enter Telugu/Hindi text, emoji, symbols</t>
  </si>
  <si>
    <t xml:space="preserve">Saved and shown correctly on doctor and admin screens</t>
  </si>
  <si>
    <t xml:space="preserve">BKG-09</t>
  </si>
  <si>
    <t xml:space="preserve">No image or video option anywhere</t>
  </si>
  <si>
    <t xml:space="preserve">Inspect booking, review, detail, admin screens; check manifest and Storage rules</t>
  </si>
  <si>
    <t xml:space="preserve">No photo/video UI; no camera/photo permission; Storage rules deny all</t>
  </si>
  <si>
    <t xml:space="preserve">BKG-10</t>
  </si>
  <si>
    <t xml:space="preserve">Doctor and clinic name prefilled and editable</t>
  </si>
  <si>
    <t xml:space="preserve">Open contact step</t>
  </si>
  <si>
    <t xml:space="preserve">Prefilled from profile; can be edited</t>
  </si>
  <si>
    <t xml:space="preserve">BKG-11</t>
  </si>
  <si>
    <t xml:space="preserve">Mobile number is mandatory</t>
  </si>
  <si>
    <t xml:space="preserve">Leave mobile empty; continue</t>
  </si>
  <si>
    <t xml:space="preserve">'Phone number is required'; cannot continue</t>
  </si>
  <si>
    <t xml:space="preserve">BKG-12</t>
  </si>
  <si>
    <t xml:space="preserve">Invalid mobile numbers rejected</t>
  </si>
  <si>
    <t xml:space="preserve">Try 9 digits, 11 digits, starts with 5, letters</t>
  </si>
  <si>
    <t xml:space="preserve">'Enter a valid 10-digit phone number'</t>
  </si>
  <si>
    <t xml:space="preserve">BKG-13</t>
  </si>
  <si>
    <t xml:space="preserve">Mobile with +91 and spaces</t>
  </si>
  <si>
    <t xml:space="preserve">Enter '+91 98765 43210'</t>
  </si>
  <si>
    <t xml:space="preserve">Accepted and normalised</t>
  </si>
  <si>
    <t xml:space="preserve">BKG-14</t>
  </si>
  <si>
    <t xml:space="preserve">Address line required</t>
  </si>
  <si>
    <t xml:space="preserve">Leave address empty</t>
  </si>
  <si>
    <t xml:space="preserve">'Address is required'</t>
  </si>
  <si>
    <t xml:space="preserve">BKG-15</t>
  </si>
  <si>
    <t xml:space="preserve">Landmark and area optional</t>
  </si>
  <si>
    <t xml:space="preserve">Leave blank</t>
  </si>
  <si>
    <t xml:space="preserve">Booking proceeds</t>
  </si>
  <si>
    <t xml:space="preserve">BKG-16</t>
  </si>
  <si>
    <t xml:space="preserve">Pincode required, 6 digits</t>
  </si>
  <si>
    <t xml:space="preserve">Empty / 5 digits / letters</t>
  </si>
  <si>
    <t xml:space="preserve">BKG-17</t>
  </si>
  <si>
    <t xml:space="preserve">Non-Hyderabad pincode blocked</t>
  </si>
  <si>
    <t xml:space="preserve">Enter 560001 (Bengaluru)</t>
  </si>
  <si>
    <t xml:space="preserve">'We currently serve Hyderabad only'; cannot continue</t>
  </si>
  <si>
    <t xml:space="preserve">BKG-18</t>
  </si>
  <si>
    <t xml:space="preserve">Hyderabad pincodes accepted</t>
  </si>
  <si>
    <t xml:space="preserve">Enter 500034, 500081, 501301, 502032</t>
  </si>
  <si>
    <t xml:space="preserve">Accepted (per configured prefixes)</t>
  </si>
  <si>
    <t xml:space="preserve">BKG-19</t>
  </si>
  <si>
    <t xml:space="preserve">City locked to Hyderabad</t>
  </si>
  <si>
    <t xml:space="preserve">Try to edit city</t>
  </si>
  <si>
    <t xml:space="preserve">Read-only 'Hyderabad'</t>
  </si>
  <si>
    <t xml:space="preserve">BKG-20</t>
  </si>
  <si>
    <t xml:space="preserve">Detect my location fills address</t>
  </si>
  <si>
    <t xml:space="preserve">Tap Detect my location; allow permission (GPS on, inside Hyderabad)</t>
  </si>
  <si>
    <t xml:space="preserve">Address, area, pincode filled; editable; lat/lng saved</t>
  </si>
  <si>
    <t xml:space="preserve">BKG-21</t>
  </si>
  <si>
    <t xml:space="preserve">Location permission denied</t>
  </si>
  <si>
    <t xml:space="preserve">Deny permission</t>
  </si>
  <si>
    <t xml:space="preserve">Message; manual entry still works</t>
  </si>
  <si>
    <t xml:space="preserve">BKG-22</t>
  </si>
  <si>
    <t xml:space="preserve">Location permanently denied</t>
  </si>
  <si>
    <t xml:space="preserve">Deny with 'don't ask again'; tap button again</t>
  </si>
  <si>
    <t xml:space="preserve">Offers to open app settings; manual entry works</t>
  </si>
  <si>
    <t xml:space="preserve">BKG-23</t>
  </si>
  <si>
    <t xml:space="preserve">GPS switched off</t>
  </si>
  <si>
    <t xml:space="preserve">Turn off location; tap button</t>
  </si>
  <si>
    <t xml:space="preserve">Asks to enable location; no freeze</t>
  </si>
  <si>
    <t xml:space="preserve">BKG-24</t>
  </si>
  <si>
    <t xml:space="preserve">Detected location outside Hyderabad</t>
  </si>
  <si>
    <t xml:space="preserve">Use mock location in another city</t>
  </si>
  <si>
    <t xml:space="preserve">'We currently serve Hyderabad only'</t>
  </si>
  <si>
    <t xml:space="preserve">BKG-25</t>
  </si>
  <si>
    <t xml:space="preserve">Geocoding fails (offline)</t>
  </si>
  <si>
    <t xml:space="preserve">Go offline after GPS fix</t>
  </si>
  <si>
    <t xml:space="preserve">Friendly message; manual entry possible</t>
  </si>
  <si>
    <t xml:space="preserve">BKG-26</t>
  </si>
  <si>
    <t xml:space="preserve">No paid Maps/Places API used</t>
  </si>
  <si>
    <t xml:space="preserve">Review code, manifest, Google Cloud billing</t>
  </si>
  <si>
    <t xml:space="preserve">No Maps SDK/Places key; location uses device geocoder only; no billing account needed for it</t>
  </si>
  <si>
    <t xml:space="preserve">BKG-27</t>
  </si>
  <si>
    <t xml:space="preserve">Form keeps data on Back and forward</t>
  </si>
  <si>
    <t xml:space="preserve">Fill steps; go back and forward</t>
  </si>
  <si>
    <t xml:space="preserve">Entered data retained</t>
  </si>
  <si>
    <t xml:space="preserve">BKG-28</t>
  </si>
  <si>
    <t xml:space="preserve">Review shows all details correctly</t>
  </si>
  <si>
    <t xml:space="preserve">Reach Review</t>
  </si>
  <si>
    <t xml:space="preserve">Doctor, clinic, mobile, full address, category, description, slot, status text all correct</t>
  </si>
  <si>
    <t xml:space="preserve">BKG-29</t>
  </si>
  <si>
    <t xml:space="preserve">Review has no overflow and no fee lines</t>
  </si>
  <si>
    <t xml:space="preserve">Open Review at small sizes</t>
  </si>
  <si>
    <t xml:space="preserve">No stripes; no Rs 0 / visit fee / inspection charge; shows free-app and pay-technician text</t>
  </si>
  <si>
    <t xml:space="preserve">BKG-30</t>
  </si>
  <si>
    <t xml:space="preserve">Confirm creates request in NEW state</t>
  </si>
  <si>
    <t xml:space="preserve">Tap Confirm Booking</t>
  </si>
  <si>
    <t xml:space="preserve">Request saved with status NEW and all fields; success screen with short ID and call-you message</t>
  </si>
  <si>
    <t xml:space="preserve">BKG-31</t>
  </si>
  <si>
    <t xml:space="preserve">Double tap creates one request</t>
  </si>
  <si>
    <t xml:space="preserve">Tap Confirm 3 times quickly</t>
  </si>
  <si>
    <t xml:space="preserve">Exactly one request in doctor list and admin queue</t>
  </si>
  <si>
    <t xml:space="preserve">BKG-32</t>
  </si>
  <si>
    <t xml:space="preserve">Submit while offline</t>
  </si>
  <si>
    <t xml:space="preserve">Airplane mode; Confirm</t>
  </si>
  <si>
    <t xml:space="preserve">Error message; no phantom request; retry works online</t>
  </si>
  <si>
    <t xml:space="preserve">BKG-33</t>
  </si>
  <si>
    <t xml:space="preserve">Maximum open requests</t>
  </si>
  <si>
    <t xml:space="preserve">Create 3 open requests; try a 4th</t>
  </si>
  <si>
    <t xml:space="preserve">Clear message; booking blocked</t>
  </si>
  <si>
    <t xml:space="preserve">BKG-34</t>
  </si>
  <si>
    <t xml:space="preserve">Back after success does not resubmit</t>
  </si>
  <si>
    <t xml:space="preserve">Press Back on success screen</t>
  </si>
  <si>
    <t xml:space="preserve">Goes Home; no duplicate</t>
  </si>
  <si>
    <t xml:space="preserve">BKG-35</t>
  </si>
  <si>
    <t xml:space="preserve">Book again from cancelled request</t>
  </si>
  <si>
    <t xml:space="preserve">Open cancelled request; tap Book again</t>
  </si>
  <si>
    <t xml:space="preserve">Booking form prefilled; slot must be chosen again</t>
  </si>
  <si>
    <t xml:space="preserve">SLT-01</t>
  </si>
  <si>
    <t xml:space="preserve">Dates are today to +7 days only</t>
  </si>
  <si>
    <t xml:space="preserve">Open slot step</t>
  </si>
  <si>
    <t xml:space="preserve">No past dates; last date is today+7</t>
  </si>
  <si>
    <t xml:space="preserve">SLT-02</t>
  </si>
  <si>
    <t xml:space="preserve">Three slots shown</t>
  </si>
  <si>
    <t xml:space="preserve">Pick a future date</t>
  </si>
  <si>
    <t xml:space="preserve">9-12, 2-5, 6-9 slots shown</t>
  </si>
  <si>
    <t xml:space="preserve">SLT-03</t>
  </si>
  <si>
    <t xml:space="preserve">Past slots disabled for today</t>
  </si>
  <si>
    <t xml:space="preserve">Open at 3 PM</t>
  </si>
  <si>
    <t xml:space="preserve">9-12 and 2-5 disabled/hidden; 6-9 PM available</t>
  </si>
  <si>
    <t xml:space="preserve">SLT-04</t>
  </si>
  <si>
    <t xml:space="preserve">Slot already started is not bookable</t>
  </si>
  <si>
    <t xml:space="preserve">Open at 10:30 AM</t>
  </si>
  <si>
    <t xml:space="preserve">9-12 slot not selectable</t>
  </si>
  <si>
    <t xml:space="preserve">SLT-05</t>
  </si>
  <si>
    <t xml:space="preserve">30-minute lead time</t>
  </si>
  <si>
    <t xml:space="preserve">Open at 8:45 AM, then 8:15 AM</t>
  </si>
  <si>
    <t xml:space="preserve">8:45: 9-12 not bookable; 8:15: bookable (start &gt;= now+30 min)</t>
  </si>
  <si>
    <t xml:space="preserve">SLT-06</t>
  </si>
  <si>
    <t xml:space="preserve">After 6 PM today has no slots</t>
  </si>
  <si>
    <t xml:space="preserve">Open at 6:30 PM</t>
  </si>
  <si>
    <t xml:space="preserve">Today shows no slots; next day available</t>
  </si>
  <si>
    <t xml:space="preserve">SLT-07</t>
  </si>
  <si>
    <t xml:space="preserve">Wrong phone clock cannot book the past</t>
  </si>
  <si>
    <t xml:space="preserve">Set phone date back; try booking yesterday's slot (or via API)</t>
  </si>
  <si>
    <t xml:space="preserve">Rejected by Firestore rules (slotStart &gt; server time)</t>
  </si>
  <si>
    <t xml:space="preserve">SLT-08</t>
  </si>
  <si>
    <t xml:space="preserve">Time zone</t>
  </si>
  <si>
    <t xml:space="preserve">Set phone to another time zone</t>
  </si>
  <si>
    <t xml:space="preserve">Slots still follow IST</t>
  </si>
  <si>
    <t xml:space="preserve">SLT-09</t>
  </si>
  <si>
    <t xml:space="preserve">Slot is required</t>
  </si>
  <si>
    <t xml:space="preserve">Skip slot; continue</t>
  </si>
  <si>
    <t xml:space="preserve">'Please choose a time slot'</t>
  </si>
  <si>
    <t xml:space="preserve">SLT-10</t>
  </si>
  <si>
    <t xml:space="preserve">Slot shown everywhere</t>
  </si>
  <si>
    <t xml:space="preserve">Check Review, doctor detail, admin detail</t>
  </si>
  <si>
    <t xml:space="preserve">Same date and slot shown on all</t>
  </si>
  <si>
    <t xml:space="preserve">SLT-11</t>
  </si>
  <si>
    <t xml:space="preserve">Slot expires while form is open</t>
  </si>
  <si>
    <t xml:space="preserve">Open slot step 5 min before the lead cutoff; wait; Confirm</t>
  </si>
  <si>
    <t xml:space="preserve">Re-validated; asks to choose a new slot</t>
  </si>
  <si>
    <t xml:space="preserve">SLT-12</t>
  </si>
  <si>
    <t xml:space="preserve">Midnight rollover</t>
  </si>
  <si>
    <t xml:space="preserve">Keep form open past midnight</t>
  </si>
  <si>
    <t xml:space="preserve">Date list refreshed; no past date</t>
  </si>
  <si>
    <t xml:space="preserve">SLT-13</t>
  </si>
  <si>
    <t xml:space="preserve">Admin changes slot config</t>
  </si>
  <si>
    <t xml:space="preserve">Edit slot times in Settings</t>
  </si>
  <si>
    <t xml:space="preserve">New slots appear for doctors without new release</t>
  </si>
  <si>
    <t xml:space="preserve">DR-01</t>
  </si>
  <si>
    <t xml:space="preserve">My Requests filter chips</t>
  </si>
  <si>
    <t xml:space="preserve">Open My Requests</t>
  </si>
  <si>
    <t xml:space="preserve">Chips: All, Pending, Assigned, In progress, Completed, Cancelled; each filters correctly</t>
  </si>
  <si>
    <t xml:space="preserve">DR-02</t>
  </si>
  <si>
    <t xml:space="preserve">Request detail shows technician and slot</t>
  </si>
  <si>
    <t xml:space="preserve">Open an assigned request</t>
  </si>
  <si>
    <t xml:space="preserve">Slot, technician name, tap-to-call phone, 'will call or visit during your slot', timeline</t>
  </si>
  <si>
    <t xml:space="preserve">DR-03</t>
  </si>
  <si>
    <t xml:space="preserve">Mark as completed asks for amount</t>
  </si>
  <si>
    <t xml:space="preserve">Open assigned/in-progress request; tap Mark as completed</t>
  </si>
  <si>
    <t xml:space="preserve">Dialog 'How much did you pay the technician?'</t>
  </si>
  <si>
    <t xml:space="preserve">DR-04</t>
  </si>
  <si>
    <t xml:space="preserve">Amount validation</t>
  </si>
  <si>
    <t xml:space="preserve">Try empty, letters, negative, 12.5, 100001</t>
  </si>
  <si>
    <t xml:space="preserve">Rejected with message; only whole rupees 0-100000 accepted</t>
  </si>
  <si>
    <t xml:space="preserve">DR-05</t>
  </si>
  <si>
    <t xml:space="preserve">Amount 0 allowed</t>
  </si>
  <si>
    <t xml:space="preserve">Enter 0</t>
  </si>
  <si>
    <t xml:space="preserve">Accepted after confirmation (free visit)</t>
  </si>
  <si>
    <t xml:space="preserve">DR-06</t>
  </si>
  <si>
    <t xml:space="preserve">Confirmation step before closing</t>
  </si>
  <si>
    <t xml:space="preserve">Enter 1500; continue</t>
  </si>
  <si>
    <t xml:space="preserve">Shows 'Confirm you paid Rs 1500 and close ticket?'; Cancel returns without change</t>
  </si>
  <si>
    <t xml:space="preserve">DR-07</t>
  </si>
  <si>
    <t xml:space="preserve">Completed ticket saved and read-only</t>
  </si>
  <si>
    <t xml:space="preserve">Confirm</t>
  </si>
  <si>
    <t xml:space="preserve">Status COMPLETED; amountPaid, completedAt, completedBy=dentist saved; no further actions; admin sees it</t>
  </si>
  <si>
    <t xml:space="preserve">DR-08</t>
  </si>
  <si>
    <t xml:space="preserve">Doctor cancels NEW request with reason</t>
  </si>
  <si>
    <t xml:space="preserve">Tap Cancel; pick reason</t>
  </si>
  <si>
    <t xml:space="preserve">Status CANCELLED with reason and cancelledBy=dentist; admin sees reason</t>
  </si>
  <si>
    <t xml:space="preserve">DR-09</t>
  </si>
  <si>
    <t xml:space="preserve">Reason mandatory; Other needs text</t>
  </si>
  <si>
    <t xml:space="preserve">Try to cancel with no reason; choose Other with empty text</t>
  </si>
  <si>
    <t xml:space="preserve">Blocked until reason (and text for Other) provided</t>
  </si>
  <si>
    <t xml:space="preserve">DR-10</t>
  </si>
  <si>
    <t xml:space="preserve">Doctor cancels ASSIGNED request</t>
  </si>
  <si>
    <t xml:space="preserve">Cancel after technician assigned</t>
  </si>
  <si>
    <t xml:space="preserve">Allowed; admin sees it; technician no longer expected</t>
  </si>
  <si>
    <t xml:space="preserve">DR-11</t>
  </si>
  <si>
    <t xml:space="preserve">No cancel after IN_PROGRESS</t>
  </si>
  <si>
    <t xml:space="preserve">Open IN_PROGRESS request</t>
  </si>
  <si>
    <t xml:space="preserve">No Cancel button; text to contact support</t>
  </si>
  <si>
    <t xml:space="preserve">DR-12</t>
  </si>
  <si>
    <t xml:space="preserve">Admin denies service; doctor sees reason</t>
  </si>
  <si>
    <t xml:space="preserve">Admin cancels with 'Outside service area'</t>
  </si>
  <si>
    <t xml:space="preserve">Doctor sees Cancelled + reason + Book again</t>
  </si>
  <si>
    <t xml:space="preserve">DR-13</t>
  </si>
  <si>
    <t xml:space="preserve">Technician denies: admin cancels or reassigns</t>
  </si>
  <si>
    <t xml:space="preserve">Admin cancels with 'Technician unable to attend'; or reassigns</t>
  </si>
  <si>
    <t xml:space="preserve">Doctor sees update either way; no stale technician shown</t>
  </si>
  <si>
    <t xml:space="preserve">DR-14</t>
  </si>
  <si>
    <t xml:space="preserve">Doctor never closes: admin closes on behalf</t>
  </si>
  <si>
    <t xml:space="preserve">Admin closes with amount</t>
  </si>
  <si>
    <t xml:space="preserve">Doctor sees Completed; marked 'closed by admin'</t>
  </si>
  <si>
    <t xml:space="preserve">DR-15</t>
  </si>
  <si>
    <t xml:space="preserve">Real-time updates on detail screen</t>
  </si>
  <si>
    <t xml:space="preserve">Admin changes status while doctor has detail open</t>
  </si>
  <si>
    <t xml:space="preserve">Updates within seconds without refresh</t>
  </si>
  <si>
    <t xml:space="preserve">DR-16</t>
  </si>
  <si>
    <t xml:space="preserve">Pagination with 25+ requests</t>
  </si>
  <si>
    <t xml:space="preserve">Create 25+ requests</t>
  </si>
  <si>
    <t xml:space="preserve">20 load first, more on scroll; none missing</t>
  </si>
  <si>
    <t xml:space="preserve">DR-17</t>
  </si>
  <si>
    <t xml:space="preserve">Internal admin notes invisible to doctor</t>
  </si>
  <si>
    <t xml:space="preserve">Admin saves a note</t>
  </si>
  <si>
    <t xml:space="preserve">Doctor cannot see it in app or via query</t>
  </si>
  <si>
    <t xml:space="preserve">ADM-01</t>
  </si>
  <si>
    <t xml:space="preserve">Filter chips with counts</t>
  </si>
  <si>
    <t xml:space="preserve">Open Bookings</t>
  </si>
  <si>
    <t xml:space="preserve">Pending dispatch, Technician assigned, In progress, Completed, Cancelled, All; counts correct</t>
  </si>
  <si>
    <t xml:space="preserve">ADM-02</t>
  </si>
  <si>
    <t xml:space="preserve">Sorting and pagination</t>
  </si>
  <si>
    <t xml:space="preserve">Have 50 requests</t>
  </si>
  <si>
    <t xml:space="preserve">Sorted by slot time; 20 per page; no duplicates</t>
  </si>
  <si>
    <t xml:space="preserve">ADM-03</t>
  </si>
  <si>
    <t xml:space="preserve">Search</t>
  </si>
  <si>
    <t xml:space="preserve">Search clinic, doctor, mobile, short ID</t>
  </si>
  <si>
    <t xml:space="preserve">Correct matches; empty result message</t>
  </si>
  <si>
    <t xml:space="preserve">ADM-04</t>
  </si>
  <si>
    <t xml:space="preserve">Ticket detail shows full info</t>
  </si>
  <si>
    <t xml:space="preserve">Open a new ticket</t>
  </si>
  <si>
    <t xml:space="preserve">Clinic, doctor, mobile (tap-to-call), address, landmark, pincode, category, description, slot, timeline</t>
  </si>
  <si>
    <t xml:space="preserve">ADM-05</t>
  </si>
  <si>
    <t xml:space="preserve">Open in Google Maps</t>
  </si>
  <si>
    <t xml:space="preserve">Tap Open in Google Maps</t>
  </si>
  <si>
    <t xml:space="preserve">Maps opens at the clinic location/address</t>
  </si>
  <si>
    <t xml:space="preserve">ADM-06</t>
  </si>
  <si>
    <t xml:space="preserve">Assign technician (active only)</t>
  </si>
  <si>
    <t xml:space="preserve">Tap Assign; choose technician</t>
  </si>
  <si>
    <t xml:space="preserve">Status ASSIGNED; doctor sees technician name/phone and slot message</t>
  </si>
  <si>
    <t xml:space="preserve">ADM-07</t>
  </si>
  <si>
    <t xml:space="preserve">Reassign before in-progress</t>
  </si>
  <si>
    <t xml:space="preserve">Reassign to another technician</t>
  </si>
  <si>
    <t xml:space="preserve">Doctor sees new technician; event logged</t>
  </si>
  <si>
    <t xml:space="preserve">ADM-08</t>
  </si>
  <si>
    <t xml:space="preserve">Set In Progress disabled until assigned</t>
  </si>
  <si>
    <t xml:space="preserve">Open NEW ticket</t>
  </si>
  <si>
    <t xml:space="preserve">Set In Progress disabled/hidden</t>
  </si>
  <si>
    <t xml:space="preserve">ADM-09</t>
  </si>
  <si>
    <t xml:space="preserve">Set In Progress after assignment</t>
  </si>
  <si>
    <t xml:space="preserve">Open ASSIGNED ticket; tap Set In Progress</t>
  </si>
  <si>
    <t xml:space="preserve">Status IN_PROGRESS; doctor sees it live</t>
  </si>
  <si>
    <t xml:space="preserve">ADM-10</t>
  </si>
  <si>
    <t xml:space="preserve">Close on behalf asks amount</t>
  </si>
  <si>
    <t xml:space="preserve">Open ASSIGNED/IN_PROGRESS; tap Close on behalf</t>
  </si>
  <si>
    <t xml:space="preserve">Amount dialog + confirm; completedBy=admin</t>
  </si>
  <si>
    <t xml:space="preserve">ADM-11</t>
  </si>
  <si>
    <t xml:space="preserve">Amount validation (admin)</t>
  </si>
  <si>
    <t xml:space="preserve">Same invalid amounts as doctor</t>
  </si>
  <si>
    <t xml:space="preserve">Rejected</t>
  </si>
  <si>
    <t xml:space="preserve">ADM-12</t>
  </si>
  <si>
    <t xml:space="preserve">Cancel/deny needs reason</t>
  </si>
  <si>
    <t xml:space="preserve">Cancel ticket with each admin reason</t>
  </si>
  <si>
    <t xml:space="preserve">Saved with cancelledBy=admin and reason; doctor sees it</t>
  </si>
  <si>
    <t xml:space="preserve">ADM-13</t>
  </si>
  <si>
    <t xml:space="preserve">Try empty reason</t>
  </si>
  <si>
    <t xml:space="preserve">ADM-14</t>
  </si>
  <si>
    <t xml:space="preserve">Doctor closes -&gt; admin sees Completed + amount</t>
  </si>
  <si>
    <t xml:space="preserve">Doctor completes with amount</t>
  </si>
  <si>
    <t xml:space="preserve">Admin ticket shows Completed, amount, 'closed by doctor'</t>
  </si>
  <si>
    <t xml:space="preserve">ADM-15</t>
  </si>
  <si>
    <t xml:space="preserve">Final states have no actions</t>
  </si>
  <si>
    <t xml:space="preserve">Open COMPLETED and CANCELLED tickets</t>
  </si>
  <si>
    <t xml:space="preserve">No status buttons</t>
  </si>
  <si>
    <t xml:space="preserve">ADM-16</t>
  </si>
  <si>
    <t xml:space="preserve">Invalid transition rejected by server</t>
  </si>
  <si>
    <t xml:space="preserve">Via API try NEW-&gt;COMPLETED, NEW-&gt;IN_PROGRESS, COMPLETED-&gt;NEW</t>
  </si>
  <si>
    <t xml:space="preserve">All denied by rules</t>
  </si>
  <si>
    <t xml:space="preserve">ADM-17</t>
  </si>
  <si>
    <t xml:space="preserve">Concurrent actions</t>
  </si>
  <si>
    <t xml:space="preserve">Admin cancels while doctor closes at the same moment</t>
  </si>
  <si>
    <t xml:space="preserve">One wins; other gets 'already updated'; data consistent</t>
  </si>
  <si>
    <t xml:space="preserve">ADM-18</t>
  </si>
  <si>
    <t xml:space="preserve">Two admins assign at once</t>
  </si>
  <si>
    <t xml:space="preserve">Assign two different technicians simultaneously</t>
  </si>
  <si>
    <t xml:space="preserve">Last valid state consistent; no corruption</t>
  </si>
  <si>
    <t xml:space="preserve">ADM-19</t>
  </si>
  <si>
    <t xml:space="preserve">Internal notes saved</t>
  </si>
  <si>
    <t xml:space="preserve">Add and save note</t>
  </si>
  <si>
    <t xml:space="preserve">Persists; hidden from doctor</t>
  </si>
  <si>
    <t xml:space="preserve">ADM-20</t>
  </si>
  <si>
    <t xml:space="preserve">Audit trail</t>
  </si>
  <si>
    <t xml:space="preserve">Perform assign, start, complete</t>
  </si>
  <si>
    <t xml:space="preserve">Events recorded with who and when</t>
  </si>
  <si>
    <t xml:space="preserve">ADM-21</t>
  </si>
  <si>
    <t xml:space="preserve">No technicians available</t>
  </si>
  <si>
    <t xml:space="preserve">Deactivate all technicians; try assign</t>
  </si>
  <si>
    <t xml:space="preserve">'No technicians available' with link to add one</t>
  </si>
  <si>
    <t xml:space="preserve">DSH-01</t>
  </si>
  <si>
    <t xml:space="preserve">KPIs match data</t>
  </si>
  <si>
    <t xml:space="preserve">Seed a known dataset; open Dashboard</t>
  </si>
  <si>
    <t xml:space="preserve">Pending, assigned, in progress, completed, cancelled, doctors, technicians counts all match</t>
  </si>
  <si>
    <t xml:space="preserve">DSH-02</t>
  </si>
  <si>
    <t xml:space="preserve">Every tile is tappable and filtered</t>
  </si>
  <si>
    <t xml:space="preserve">Opens the matching filtered list; counts agree</t>
  </si>
  <si>
    <t xml:space="preserve">DSH-03</t>
  </si>
  <si>
    <t xml:space="preserve">Today / 7 days / 30 days filter</t>
  </si>
  <si>
    <t xml:space="preserve">Switch range</t>
  </si>
  <si>
    <t xml:space="preserve">Numbers change correctly</t>
  </si>
  <si>
    <t xml:space="preserve">DSH-04</t>
  </si>
  <si>
    <t xml:space="preserve">'Paid to technicians' sum is correct</t>
  </si>
  <si>
    <t xml:space="preserve">Complete tickets with 1000, 1500, 0</t>
  </si>
  <si>
    <t xml:space="preserve">Sum = 2500; excludes cancelled and open tickets</t>
  </si>
  <si>
    <t xml:space="preserve">DSH-05</t>
  </si>
  <si>
    <t xml:space="preserve">Needs attention list</t>
  </si>
  <si>
    <t xml:space="preserve">Create: pending &gt;2h, today slot unassigned, slot passed still ASSIGNED, active &gt;48h</t>
  </si>
  <si>
    <t xml:space="preserve">Each appears with reason; tapping opens the ticket</t>
  </si>
  <si>
    <t xml:space="preserve">DSH-06</t>
  </si>
  <si>
    <t xml:space="preserve">Empty state</t>
  </si>
  <si>
    <t xml:space="preserve">New project with no data</t>
  </si>
  <si>
    <t xml:space="preserve">Zeros and helpful text; no crash</t>
  </si>
  <si>
    <t xml:space="preserve">DSH-07</t>
  </si>
  <si>
    <t xml:space="preserve">No non-actionable or unclear labels</t>
  </si>
  <si>
    <t xml:space="preserve">Review all dashboard text</t>
  </si>
  <si>
    <t xml:space="preserve">No 'Active Leads' / 'Total Doc Revenue'; names clear</t>
  </si>
  <si>
    <t xml:space="preserve">DSH-08</t>
  </si>
  <si>
    <t xml:space="preserve">Non-functional</t>
  </si>
  <si>
    <t xml:space="preserve">Scales with large data</t>
  </si>
  <si>
    <t xml:space="preserve">Seed 10,000+ requests in staging</t>
  </si>
  <si>
    <t xml:space="preserve">Uses count/sum aggregation; opens in &lt; 3 s; reads stay small</t>
  </si>
  <si>
    <t xml:space="preserve">DSH-09</t>
  </si>
  <si>
    <t xml:space="preserve">Pull to refresh</t>
  </si>
  <si>
    <t xml:space="preserve">Pull down</t>
  </si>
  <si>
    <t xml:space="preserve">Numbers refresh</t>
  </si>
  <si>
    <t xml:space="preserve">DSH-10</t>
  </si>
  <si>
    <t xml:space="preserve">No overflow on dashboard</t>
  </si>
  <si>
    <t xml:space="preserve">Small sizes and font scale</t>
  </si>
  <si>
    <t xml:space="preserve">ADT-01</t>
  </si>
  <si>
    <t xml:space="preserve">Doctors list and search</t>
  </si>
  <si>
    <t xml:space="preserve">Open Doctors; search by name, phone, clinic</t>
  </si>
  <si>
    <t xml:space="preserve">Paginated; matches shown</t>
  </si>
  <si>
    <t xml:space="preserve">ADT-02</t>
  </si>
  <si>
    <t xml:space="preserve">Doctor profile</t>
  </si>
  <si>
    <t xml:space="preserve">Tap a doctor</t>
  </si>
  <si>
    <t xml:space="preserve">Call button; doctor's requests listed</t>
  </si>
  <si>
    <t xml:space="preserve">ADT-03</t>
  </si>
  <si>
    <t xml:space="preserve">Add technician</t>
  </si>
  <si>
    <t xml:space="preserve">Technicians &gt; Add; name, phone, area</t>
  </si>
  <si>
    <t xml:space="preserve">Saved; appears in assign list</t>
  </si>
  <si>
    <t xml:space="preserve">ADT-04</t>
  </si>
  <si>
    <t xml:space="preserve">Technician validation</t>
  </si>
  <si>
    <t xml:space="preserve">Empty name; invalid phone; duplicate phone</t>
  </si>
  <si>
    <t xml:space="preserve">ADT-05</t>
  </si>
  <si>
    <t xml:space="preserve">Edit and deactivate technician</t>
  </si>
  <si>
    <t xml:space="preserve">Edit; deactivate</t>
  </si>
  <si>
    <t xml:space="preserve">Inactive technician not in assign list; old tickets keep name</t>
  </si>
  <si>
    <t xml:space="preserve">ADT-06</t>
  </si>
  <si>
    <t xml:space="preserve">No seed button or placeholder technicians</t>
  </si>
  <si>
    <t xml:space="preserve">Inspect Technicians screen and data</t>
  </si>
  <si>
    <t xml:space="preserve">Seed button gone; no fake numbers</t>
  </si>
  <si>
    <t xml:space="preserve">ADT-07</t>
  </si>
  <si>
    <t xml:space="preserve">Add/rename/deactivate category</t>
  </si>
  <si>
    <t xml:space="preserve">Settings &gt; Categories</t>
  </si>
  <si>
    <t xml:space="preserve">Doctor dropdown updates; no hard delete; old tickets still show label</t>
  </si>
  <si>
    <t xml:space="preserve">ADT-08</t>
  </si>
  <si>
    <t xml:space="preserve">Slots, days ahead, pincodes, reasons, support phone, max open requests editable</t>
  </si>
  <si>
    <t xml:space="preserve">Change each in Settings</t>
  </si>
  <si>
    <t xml:space="preserve">Doctor app reflects change without new release</t>
  </si>
  <si>
    <t xml:space="preserve">ADT-09</t>
  </si>
  <si>
    <t xml:space="preserve">Settings validation</t>
  </si>
  <si>
    <t xml:space="preserve">Empty category; duplicate; invalid pincode prefix</t>
  </si>
  <si>
    <t xml:space="preserve">E2E-01</t>
  </si>
  <si>
    <t xml:space="preserve">E2E</t>
  </si>
  <si>
    <t xml:space="preserve">Happy path (Google)</t>
  </si>
  <si>
    <t xml:space="preserve">1. Doctor: Google sign-up -&gt; Home
2. Book: category, description, mobile, address, slot
3. Review -&gt; Confirm
4. Admin: open ticket, assign technician
5. Doctor sees technician
6. Admin: Set In Progress
7. Doctor: Mark completed, amount 1500, confirm
8. Admin: ticket Completed; dashboard Paid to technicians +1500</t>
  </si>
  <si>
    <t xml:space="preserve">Every step works; both sides update live; numbers correct</t>
  </si>
  <si>
    <t xml:space="preserve">E2E-02</t>
  </si>
  <si>
    <t xml:space="preserve">Happy path (email registration)</t>
  </si>
  <si>
    <t xml:space="preserve">Same as E2E-01 but register with email</t>
  </si>
  <si>
    <t xml:space="preserve">Register lands on Home; rest same</t>
  </si>
  <si>
    <t xml:space="preserve">E2E-03</t>
  </si>
  <si>
    <t xml:space="preserve">Doctor cancels</t>
  </si>
  <si>
    <t xml:space="preserve">Book; doctor cancels with reason</t>
  </si>
  <si>
    <t xml:space="preserve">Admin sees Cancelled + reason; dashboard cancelled +1</t>
  </si>
  <si>
    <t xml:space="preserve">E2E-04</t>
  </si>
  <si>
    <t xml:space="preserve">Admin denies service (outside area)</t>
  </si>
  <si>
    <t xml:space="preserve">Book with Hyderabad pincode but admin denies 'Equipment not supported'</t>
  </si>
  <si>
    <t xml:space="preserve">Doctor sees reason; Book again works</t>
  </si>
  <si>
    <t xml:space="preserve">E2E-05</t>
  </si>
  <si>
    <t xml:space="preserve">Admin closes on behalf</t>
  </si>
  <si>
    <t xml:space="preserve">Technician done; doctor does not close; admin closes with amount</t>
  </si>
  <si>
    <t xml:space="preserve">Completed, closed by admin</t>
  </si>
  <si>
    <t xml:space="preserve">E2E-06</t>
  </si>
  <si>
    <t xml:space="preserve">Technician no-show -&gt; reassign</t>
  </si>
  <si>
    <t xml:space="preserve">Assign; slot passes; admin reassigns</t>
  </si>
  <si>
    <t xml:space="preserve">Needs attention flags it; reassign works</t>
  </si>
  <si>
    <t xml:space="preserve">E2E-07</t>
  </si>
  <si>
    <t xml:space="preserve">Slot passes unassigned</t>
  </si>
  <si>
    <t xml:space="preserve">Book; do not assign past slot</t>
  </si>
  <si>
    <t xml:space="preserve">Appears in Needs attention; admin can cancel with reason</t>
  </si>
  <si>
    <t xml:space="preserve">E2E-08</t>
  </si>
  <si>
    <t xml:space="preserve">Several doctors, one admin</t>
  </si>
  <si>
    <t xml:space="preserve">3 doctors book; admin handles all</t>
  </si>
  <si>
    <t xml:space="preserve">Each doctor sees only own tickets; admin sees all</t>
  </si>
  <si>
    <t xml:space="preserve">E2E-09</t>
  </si>
  <si>
    <t xml:space="preserve">Offline then online</t>
  </si>
  <si>
    <t xml:space="preserve">Book offline (fails), retry online</t>
  </si>
  <si>
    <t xml:space="preserve">One request only</t>
  </si>
  <si>
    <t xml:space="preserve">E2E-10</t>
  </si>
  <si>
    <t xml:space="preserve">Kill app mid-flow and reopen</t>
  </si>
  <si>
    <t xml:space="preserve">Kill during booking and during closing</t>
  </si>
  <si>
    <t xml:space="preserve">No duplicate or half-saved data; same account</t>
  </si>
  <si>
    <t xml:space="preserve">UI-01</t>
  </si>
  <si>
    <t xml:space="preserve">No overflow on ANY screen</t>
  </si>
  <si>
    <t xml:space="preserve">Open every screen (login, register, home, booking steps, review, success, requests, detail, profile, admin screens) at 320x568, 360x640, 412x915</t>
  </si>
  <si>
    <t xml:space="preserve">No yellow-black stripes or 'RenderFlex overflowed' in logs</t>
  </si>
  <si>
    <t xml:space="preserve">UI-02</t>
  </si>
  <si>
    <t xml:space="preserve">Keyboard open</t>
  </si>
  <si>
    <t xml:space="preserve">Focus every text field</t>
  </si>
  <si>
    <t xml:space="preserve">Field visible; form scrolls; buttons reachable</t>
  </si>
  <si>
    <t xml:space="preserve">UI-03</t>
  </si>
  <si>
    <t xml:space="preserve">Font scale 1.3 and 2.0</t>
  </si>
  <si>
    <t xml:space="preserve">Change system font size</t>
  </si>
  <si>
    <t xml:space="preserve">No overflow; text readable</t>
  </si>
  <si>
    <t xml:space="preserve">UI-04</t>
  </si>
  <si>
    <t xml:space="preserve">Dark mode and landscape</t>
  </si>
  <si>
    <t xml:space="preserve">Switch</t>
  </si>
  <si>
    <t xml:space="preserve">Readable; no overflow</t>
  </si>
  <si>
    <t xml:space="preserve">UI-05</t>
  </si>
  <si>
    <t xml:space="preserve">Loading, empty and error states exist</t>
  </si>
  <si>
    <t xml:space="preserve">Slow network, empty data, forced error</t>
  </si>
  <si>
    <t xml:space="preserve">Every screen shows a proper state; no infinite spinner</t>
  </si>
  <si>
    <t xml:space="preserve">UI-06</t>
  </si>
  <si>
    <t xml:space="preserve">No debug UI in release</t>
  </si>
  <si>
    <t xml:space="preserve">Install release build</t>
  </si>
  <si>
    <t xml:space="preserve">No BETA/STAGING ribbon, no debug banner, no test text</t>
  </si>
  <si>
    <t xml:space="preserve">UI-07</t>
  </si>
  <si>
    <t xml:space="preserve">Back button behaviour</t>
  </si>
  <si>
    <t xml:space="preserve">Back on every screen</t>
  </si>
  <si>
    <t xml:space="preserve">Predictable; no dead ends</t>
  </si>
  <si>
    <t xml:space="preserve">UI-08</t>
  </si>
  <si>
    <t xml:space="preserve">Tap targets and contrast</t>
  </si>
  <si>
    <t xml:space="preserve">Check buttons &gt;= 48dp and readable colours</t>
  </si>
  <si>
    <t xml:space="preserve">Meets basic accessibility</t>
  </si>
  <si>
    <t xml:space="preserve">UI-09</t>
  </si>
  <si>
    <t xml:space="preserve">Copy review</t>
  </si>
  <si>
    <t xml:space="preserve">Read all texts</t>
  </si>
  <si>
    <t xml:space="preserve">No 'Rs 0 fee / free diagnosis' claims; clear that technician is paid directly</t>
  </si>
  <si>
    <t xml:space="preserve">SEC-01</t>
  </si>
  <si>
    <t xml:space="preserve">No credentials or test buttons in release APK</t>
  </si>
  <si>
    <t xml:space="preserve">Extract strings from release APK</t>
  </si>
  <si>
    <t xml:space="preserve">No passwords, admin/demo emails, test OTP, 1-click login code</t>
  </si>
  <si>
    <t xml:space="preserve">SEC-02</t>
  </si>
  <si>
    <t xml:space="preserve">Old admin/demo credentials rotated and accounts removed</t>
  </si>
  <si>
    <t xml:space="preserve">Try signing in with old admin and demo passwords</t>
  </si>
  <si>
    <t xml:space="preserve">SEC-03</t>
  </si>
  <si>
    <t xml:space="preserve">Doctor cannot make self admin</t>
  </si>
  <si>
    <t xml:space="preserve">Try writing role/admin fields on own user doc</t>
  </si>
  <si>
    <t xml:space="preserve">Denied</t>
  </si>
  <si>
    <t xml:space="preserve">SEC-04</t>
  </si>
  <si>
    <t xml:space="preserve">Doctor cannot read other doctors' requests/profiles</t>
  </si>
  <si>
    <t xml:space="preserve">Query as Doctor A for Doctor B</t>
  </si>
  <si>
    <t xml:space="preserve">Permission denied</t>
  </si>
  <si>
    <t xml:space="preserve">SEC-05</t>
  </si>
  <si>
    <t xml:space="preserve">Doctor cannot assign or set status like admin</t>
  </si>
  <si>
    <t xml:space="preserve">Try updating assignedTechnician or status to IN_PROGRESS</t>
  </si>
  <si>
    <t xml:space="preserve">SEC-06</t>
  </si>
  <si>
    <t xml:space="preserve">Unauthenticated access blocked</t>
  </si>
  <si>
    <t xml:space="preserve">Read/write all collections with no login</t>
  </si>
  <si>
    <t xml:space="preserve">All denied</t>
  </si>
  <si>
    <t xml:space="preserve">SEC-07</t>
  </si>
  <si>
    <t xml:space="preserve">Technicians and settings write protection</t>
  </si>
  <si>
    <t xml:space="preserve">Doctor tries to edit technicians/config; read technicians list</t>
  </si>
  <si>
    <t xml:space="preserve">Denied (technicians admin-only; config read-only)</t>
  </si>
  <si>
    <t xml:space="preserve">SEC-08</t>
  </si>
  <si>
    <t xml:space="preserve">Doctor create rules</t>
  </si>
  <si>
    <t xml:space="preserve">Create with another dentistId, status ASSIGNED, past slot, amountPaid, 600-char text, bad mobile</t>
  </si>
  <si>
    <t xml:space="preserve">SEC-09</t>
  </si>
  <si>
    <t xml:space="preserve">Doctor update rules</t>
  </si>
  <si>
    <t xml:space="preserve">Edit description/slot/clinic after creation; set amount outside completion</t>
  </si>
  <si>
    <t xml:space="preserve">Denied except allowed transitions</t>
  </si>
  <si>
    <t xml:space="preserve">SEC-10</t>
  </si>
  <si>
    <t xml:space="preserve">Storage rules deny all</t>
  </si>
  <si>
    <t xml:space="preserve">Try upload/read</t>
  </si>
  <si>
    <t xml:space="preserve">SEC-11</t>
  </si>
  <si>
    <t xml:space="preserve">App Check enforced</t>
  </si>
  <si>
    <t xml:space="preserve">Call Firestore/Auth from a non-app client</t>
  </si>
  <si>
    <t xml:space="preserve">SEC-12</t>
  </si>
  <si>
    <t xml:space="preserve">Release build signed and not debuggable</t>
  </si>
  <si>
    <t xml:space="preserve">Check signing and debuggable flag</t>
  </si>
  <si>
    <t xml:space="preserve">Release key; not debuggable</t>
  </si>
  <si>
    <t xml:space="preserve">SEC-13</t>
  </si>
  <si>
    <t xml:space="preserve">No secrets in repo</t>
  </si>
  <si>
    <t xml:space="preserve">Scan repo and history for keystore, service account, passwords</t>
  </si>
  <si>
    <t xml:space="preserve">None found</t>
  </si>
  <si>
    <t xml:space="preserve">SEC-14</t>
  </si>
  <si>
    <t xml:space="preserve">Rules unit tests pass</t>
  </si>
  <si>
    <t xml:space="preserve">Run emulator rules test suite</t>
  </si>
  <si>
    <t xml:space="preserve">All pass</t>
  </si>
  <si>
    <t xml:space="preserve">SEC-15</t>
  </si>
  <si>
    <t xml:space="preserve">Personal data privacy</t>
  </si>
  <si>
    <t xml:space="preserve">Doctor views own data only; admin notes hidden</t>
  </si>
  <si>
    <t xml:space="preserve">No leakage</t>
  </si>
  <si>
    <t xml:space="preserve">SEC-16</t>
  </si>
  <si>
    <t xml:space="preserve">Input injection</t>
  </si>
  <si>
    <t xml:space="preserve">Enter HTML/script/very long strings in all fields</t>
  </si>
  <si>
    <t xml:space="preserve">Stored/displayed as plain text; no crash</t>
  </si>
  <si>
    <t xml:space="preserve">PERF-01</t>
  </si>
  <si>
    <t xml:space="preserve">Cold start</t>
  </si>
  <si>
    <t xml:space="preserve">Release build, mid-range phone</t>
  </si>
  <si>
    <t xml:space="preserve">&lt; 3-4 s to first screen</t>
  </si>
  <si>
    <t xml:space="preserve">PERF-02</t>
  </si>
  <si>
    <t xml:space="preserve">Pagination everywhere</t>
  </si>
  <si>
    <t xml:space="preserve">Open any list with 5,000 records</t>
  </si>
  <si>
    <t xml:space="preserve">20 per page; memory stable</t>
  </si>
  <si>
    <t xml:space="preserve">PERF-03</t>
  </si>
  <si>
    <t xml:space="preserve">No missing-index errors</t>
  </si>
  <si>
    <t xml:space="preserve">Use every filter/sort combination on staging and prod</t>
  </si>
  <si>
    <t xml:space="preserve">No 'query requires an index' errors; indexes deployed from firestore.indexes.json</t>
  </si>
  <si>
    <t xml:space="preserve">PERF-04</t>
  </si>
  <si>
    <t xml:space="preserve">Firestore read budget</t>
  </si>
  <si>
    <t xml:space="preserve">Count reads for a typical session</t>
  </si>
  <si>
    <t xml:space="preserve">Home &lt;= ~10 reads; no whole-collection streams</t>
  </si>
  <si>
    <t xml:space="preserve">PERF-05</t>
  </si>
  <si>
    <t xml:space="preserve">Listeners disposed</t>
  </si>
  <si>
    <t xml:space="preserve">Navigate in/out of screens repeatedly</t>
  </si>
  <si>
    <t xml:space="preserve">No growing reads or memory; no leaks</t>
  </si>
  <si>
    <t xml:space="preserve">PERF-06</t>
  </si>
  <si>
    <t xml:space="preserve">Simulated load</t>
  </si>
  <si>
    <t xml:space="preserve">Seed 1,000 doctors / 5,000 requests; run scripted bookings and status changes</t>
  </si>
  <si>
    <t xml:space="preserve">No errors; latency acceptable</t>
  </si>
  <si>
    <t xml:space="preserve">PERF-07</t>
  </si>
  <si>
    <t xml:space="preserve">App size</t>
  </si>
  <si>
    <t xml:space="preserve">Release AAB size</t>
  </si>
  <si>
    <t xml:space="preserve">Reasonable (target &lt; 40 MB download)</t>
  </si>
  <si>
    <t xml:space="preserve">PERF-08</t>
  </si>
  <si>
    <t xml:space="preserve">Budget alerts and quotas</t>
  </si>
  <si>
    <t xml:space="preserve">Check billing alerts and Firestore quotas</t>
  </si>
  <si>
    <t xml:space="preserve">Alerts set; Blaze plan active</t>
  </si>
  <si>
    <t xml:space="preserve">DEV-01</t>
  </si>
  <si>
    <t xml:space="preserve">Android versions</t>
  </si>
  <si>
    <t xml:space="preserve">Android 8, 10, 12, 14, 15</t>
  </si>
  <si>
    <t xml:space="preserve">Installs and runs core flow</t>
  </si>
  <si>
    <t xml:space="preserve">DEV-02</t>
  </si>
  <si>
    <t xml:space="preserve">Screen sizes</t>
  </si>
  <si>
    <t xml:space="preserve">Small phone, large phone, tablet</t>
  </si>
  <si>
    <t xml:space="preserve">No overflow</t>
  </si>
  <si>
    <t xml:space="preserve">DEV-03</t>
  </si>
  <si>
    <t xml:space="preserve">Slow network</t>
  </si>
  <si>
    <t xml:space="preserve">Throttle to 2G/3G</t>
  </si>
  <si>
    <t xml:space="preserve">Loaders and clear errors; no hangs</t>
  </si>
  <si>
    <t xml:space="preserve">DEV-04</t>
  </si>
  <si>
    <t xml:space="preserve">Rotation and app switching</t>
  </si>
  <si>
    <t xml:space="preserve">Rotate; background 5 min</t>
  </si>
  <si>
    <t xml:space="preserve">State preserved; still signed in</t>
  </si>
  <si>
    <t xml:space="preserve">DEV-05</t>
  </si>
  <si>
    <t xml:space="preserve">Calls and Maps links</t>
  </si>
  <si>
    <t xml:space="preserve">Tap-to-call and Open in Maps on real phone</t>
  </si>
  <si>
    <t xml:space="preserve">Dialer/Maps open correctly</t>
  </si>
  <si>
    <t xml:space="preserve">DEV-06</t>
  </si>
  <si>
    <t xml:space="preserve">Upgrade install</t>
  </si>
  <si>
    <t xml:space="preserve">Install new build over old</t>
  </si>
  <si>
    <t xml:space="preserve">Stays signed in; data intact</t>
  </si>
  <si>
    <t xml:space="preserve">DEP-01</t>
  </si>
  <si>
    <t xml:space="preserve">Separate dev/staging/prod projects and flavors</t>
  </si>
  <si>
    <t xml:space="preserve">Check build flavors</t>
  </si>
  <si>
    <t xml:space="preserve">Prod flavor uses prod project only; no ribbon</t>
  </si>
  <si>
    <t xml:space="preserve">DEP-02</t>
  </si>
  <si>
    <t xml:space="preserve">Staging full regression passed</t>
  </si>
  <si>
    <t xml:space="preserve">Run all cases on staging release build</t>
  </si>
  <si>
    <t xml:space="preserve">All Smoke + Regression pass</t>
  </si>
  <si>
    <t xml:space="preserve">DEP-03</t>
  </si>
  <si>
    <t xml:space="preserve">Prod project configured</t>
  </si>
  <si>
    <t xml:space="preserve">Check Blaze, Auth providers, authorized domains, SHA-1/SHA-256 (release + Play App Signing), App Check, Crashlytics, PITR</t>
  </si>
  <si>
    <t xml:space="preserve">All set</t>
  </si>
  <si>
    <t xml:space="preserve">DEP-04</t>
  </si>
  <si>
    <t xml:space="preserve">Rules and indexes deployed to prod</t>
  </si>
  <si>
    <t xml:space="preserve">firebase deploy --only firestore:rules,firestore:indexes</t>
  </si>
  <si>
    <t xml:space="preserve">Success; rules tests passed before deploy</t>
  </si>
  <si>
    <t xml:space="preserve">DEP-05</t>
  </si>
  <si>
    <t xml:space="preserve">Admin claim only for admin Gmail</t>
  </si>
  <si>
    <t xml:space="preserve">Run script; test with doctor account</t>
  </si>
  <si>
    <t xml:space="preserve">Only admin email reaches admin</t>
  </si>
  <si>
    <t xml:space="preserve">DEP-06</t>
  </si>
  <si>
    <t xml:space="preserve">Prod config seeded, no test data</t>
  </si>
  <si>
    <t xml:space="preserve">Check bookingConfig, technicians, users, requests</t>
  </si>
  <si>
    <t xml:space="preserve">Real categories, slots, pincodes, reasons, support phone, real technicians; no demo accounts or fake requests</t>
  </si>
  <si>
    <t xml:space="preserve">DEP-07</t>
  </si>
  <si>
    <t xml:space="preserve">Prod smoke test on real phone</t>
  </si>
  <si>
    <t xml:space="preserve">Run E2E-01 with a fresh Google account; delete test data</t>
  </si>
  <si>
    <t xml:space="preserve">Passes; data cleaned</t>
  </si>
  <si>
    <t xml:space="preserve">DEP-08</t>
  </si>
  <si>
    <t xml:space="preserve">Crashlytics and Analytics receive data</t>
  </si>
  <si>
    <t xml:space="preserve">Trigger a test event/non-fatal</t>
  </si>
  <si>
    <t xml:space="preserve">Visible in console</t>
  </si>
  <si>
    <t xml:space="preserve">DEP-09</t>
  </si>
  <si>
    <t xml:space="preserve">Play Console readiness</t>
  </si>
  <si>
    <t xml:space="preserve">Privacy policy URL, data safety form, account deletion info, app signing, internal test track</t>
  </si>
  <si>
    <t xml:space="preserve">Complete</t>
  </si>
  <si>
    <t xml:space="preserve">DEP-10</t>
  </si>
  <si>
    <t xml:space="preserve">Rollback plan</t>
  </si>
  <si>
    <t xml:space="preserve">Confirm previous AAB and Remote Config min version</t>
  </si>
  <si>
    <t xml:space="preserve">Documented and tested</t>
  </si>
  <si>
    <t xml:space="preserve">DEP-11</t>
  </si>
  <si>
    <t xml:space="preserve">Staged rollout</t>
  </si>
  <si>
    <t xml:space="preserve">Release to small percentage first</t>
  </si>
  <si>
    <t xml:space="preserve">Monitor crashes and Firestore usage before 100%</t>
  </si>
  <si>
    <t xml:space="preserve">DEP-12</t>
  </si>
  <si>
    <t xml:space="preserve">Backups</t>
  </si>
  <si>
    <t xml:space="preserve">Check PITR/export schedule</t>
  </si>
  <si>
    <t xml:space="preserve">Enabled</t>
  </si>
  <si>
    <t xml:space="preserve">PLAY-01</t>
  </si>
  <si>
    <t xml:space="preserve">Target API 36 and AAB</t>
  </si>
  <si>
    <t xml:space="preserve">Check build.gradle and release artifact</t>
  </si>
  <si>
    <t xml:space="preserve">targetSdk and compileSdk = 36 or higher; AAB signed with upload key; Play App Signing on; Play Console accepts it</t>
  </si>
  <si>
    <t xml:space="preserve">PLAY-02</t>
  </si>
  <si>
    <t xml:space="preserve">Permissions minimal and justified</t>
  </si>
  <si>
    <t xml:space="preserve">Read merged AndroidManifest of the release build</t>
  </si>
  <si>
    <t xml:space="preserve">Only INTERNET, ACCESS_NETWORK_STATE, ACCESS_FINE/COARSE_LOCATION (+ justified plugin ones); no camera, photo, contacts, SMS, background location; each permission explained in PLAY_COMPLIANCE.md</t>
  </si>
  <si>
    <t xml:space="preserve">PLAY-03</t>
  </si>
  <si>
    <t xml:space="preserve">Location asked only on tap, with reason</t>
  </si>
  <si>
    <t xml:space="preserve">Fresh install; walk through booking</t>
  </si>
  <si>
    <t xml:space="preserve">No location prompt until Detect my location is tapped; short reason shown first; app fully usable without it</t>
  </si>
  <si>
    <t xml:space="preserve">PLAY-04</t>
  </si>
  <si>
    <t xml:space="preserve">No background location</t>
  </si>
  <si>
    <t xml:space="preserve">Check manifest and code</t>
  </si>
  <si>
    <t xml:space="preserve">No ACCESS_BACKGROUND_LOCATION; location read once</t>
  </si>
  <si>
    <t xml:space="preserve">PLAY-05</t>
  </si>
  <si>
    <t xml:space="preserve">Back gesture on Android 16 / predictive back</t>
  </si>
  <si>
    <t xml:space="preserve">Use gesture and button back on every screen on an Android 16 device</t>
  </si>
  <si>
    <t xml:space="preserve">Predictable; no accidental exit; no lost form data</t>
  </si>
  <si>
    <t xml:space="preserve">PLAY-06</t>
  </si>
  <si>
    <t xml:space="preserve">HTTPS only, backup off</t>
  </si>
  <si>
    <t xml:space="preserve">Check manifest</t>
  </si>
  <si>
    <t xml:space="preserve">usesCleartextTraffic=false; allowBackup=false</t>
  </si>
  <si>
    <t xml:space="preserve">PLAY-07</t>
  </si>
  <si>
    <t xml:space="preserve">No personal data in logs or crash reports</t>
  </si>
  <si>
    <t xml:space="preserve">Trigger crashes; read Crashlytics and logcat</t>
  </si>
  <si>
    <t xml:space="preserve">No phone, address, email or clinic details</t>
  </si>
  <si>
    <t xml:space="preserve">PLAY-08</t>
  </si>
  <si>
    <t xml:space="preserve">Privacy Policy URL live and linked</t>
  </si>
  <si>
    <t xml:space="preserve">Open policy from Play listing (draft), app Profile and sign-up screen</t>
  </si>
  <si>
    <t xml:space="preserve">Public page loads without login; names app and developer; lists data, purpose, sharing, retention, deletion, contact and grievance email</t>
  </si>
  <si>
    <t xml:space="preserve">PLAY-09</t>
  </si>
  <si>
    <t xml:space="preserve">Privacy policy matches real behaviour</t>
  </si>
  <si>
    <t xml:space="preserve">Compare policy with SDK list and data fields</t>
  </si>
  <si>
    <t xml:space="preserve">Everything collected is disclosed; nothing disclosed that is not used</t>
  </si>
  <si>
    <t xml:space="preserve">PLAY-10</t>
  </si>
  <si>
    <t xml:space="preserve">Data safety form completed and accurate</t>
  </si>
  <si>
    <t xml:space="preserve">Compare form with each SDK (Auth, Firestore, App Check, Crashlytics, Analytics, Google Sign-In)</t>
  </si>
  <si>
    <t xml:space="preserve">Matches; data encrypted in transit = yes; deletion available = yes</t>
  </si>
  <si>
    <t xml:space="preserve">PLAY-11</t>
  </si>
  <si>
    <t xml:space="preserve">Account deletion in app</t>
  </si>
  <si>
    <t xml:space="preserve">Profile &gt; Delete my account; confirm</t>
  </si>
  <si>
    <t xml:space="preserve">Personal data removed/anonymised; signed out; cannot sign in to old data</t>
  </si>
  <si>
    <t xml:space="preserve">PLAY-12</t>
  </si>
  <si>
    <t xml:space="preserve">Account deletion web page</t>
  </si>
  <si>
    <t xml:space="preserve">Open the public delete-account URL</t>
  </si>
  <si>
    <t xml:space="preserve">Clear instructions and contact; URL entered in Data safety form; request honoured within a stated time</t>
  </si>
  <si>
    <t xml:space="preserve">PLAY-13</t>
  </si>
  <si>
    <t xml:space="preserve">Deleted user's data check</t>
  </si>
  <si>
    <t xml:space="preserve">After deletion inspect users doc, requests, Auth</t>
  </si>
  <si>
    <t xml:space="preserve">No name, mobile, address or email remains; anonymised stats may remain</t>
  </si>
  <si>
    <t xml:space="preserve">PLAY-14</t>
  </si>
  <si>
    <t xml:space="preserve">First sign-up notice and consent record</t>
  </si>
  <si>
    <t xml:space="preserve">Create a new account (Google and email)</t>
  </si>
  <si>
    <t xml:space="preserve">Notice screen shown before account creation; consent time and policy version stored</t>
  </si>
  <si>
    <t xml:space="preserve">PLAY-15</t>
  </si>
  <si>
    <t xml:space="preserve">Doctor told that technician sees contact details</t>
  </si>
  <si>
    <t xml:space="preserve">Read notice, review screen or policy</t>
  </si>
  <si>
    <t xml:space="preserve">Clear statement that name, clinic address and mobile are shared with assigned technician</t>
  </si>
  <si>
    <t xml:space="preserve">PLAY-16</t>
  </si>
  <si>
    <t xml:space="preserve">Privacy contact and grievance email visible</t>
  </si>
  <si>
    <t xml:space="preserve">Profile and policy</t>
  </si>
  <si>
    <t xml:space="preserve">Contact shown; test mail gets a reply</t>
  </si>
  <si>
    <t xml:space="preserve">PLAY-17</t>
  </si>
  <si>
    <t xml:space="preserve">Retention rule documented</t>
  </si>
  <si>
    <t xml:space="preserve">Read policy and admin runbook</t>
  </si>
  <si>
    <t xml:space="preserve">Retention period stated; anonymisation step documented and tested</t>
  </si>
  <si>
    <t xml:space="preserve">PLAY-18</t>
  </si>
  <si>
    <t xml:space="preserve">Content rating, target audience 18+, no ads</t>
  </si>
  <si>
    <t xml:space="preserve">Check Play Console App content</t>
  </si>
  <si>
    <t xml:space="preserve">Questionnaire done; audience adults only; no-ads declared</t>
  </si>
  <si>
    <t xml:space="preserve">PLAY-19</t>
  </si>
  <si>
    <t xml:space="preserve">Store listing accurate</t>
  </si>
  <si>
    <t xml:space="preserve">Review title, descriptions, screenshots, icon, feature graphic</t>
  </si>
  <si>
    <t xml:space="preserve">No misleading claims (no 'free technician visit'); says app records amount paid, does not process payments; assets sized correctly</t>
  </si>
  <si>
    <t xml:space="preserve">PLAY-20</t>
  </si>
  <si>
    <t xml:space="preserve">Closed-test requirement met (personal account)</t>
  </si>
  <si>
    <t xml:space="preserve">Check Play Console Testing</t>
  </si>
  <si>
    <t xml:space="preserve">12+ testers opted in for 14 continuous days before applying for production; organization accounts exempt</t>
  </si>
  <si>
    <t xml:space="preserve">PLAY-21</t>
  </si>
  <si>
    <t xml:space="preserve">Pre-launch report clean</t>
  </si>
  <si>
    <t xml:space="preserve">Run Play Console pre-launch report</t>
  </si>
  <si>
    <t xml:space="preserve">No crashes, no critical accessibility or security findings</t>
  </si>
  <si>
    <t xml:space="preserve">PLAY-22</t>
  </si>
  <si>
    <t xml:space="preserve">Google Sign-In branding and flow</t>
  </si>
  <si>
    <t xml:space="preserve">Check the button and consent screen</t>
  </si>
  <si>
    <t xml:space="preserve">Uses Google's standard button; correct app name, logo and support email on OAuth consent screen</t>
  </si>
  <si>
    <t xml:space="preserve">PLAY-23</t>
  </si>
  <si>
    <t xml:space="preserve">Data breach plan exists</t>
  </si>
  <si>
    <t xml:space="preserve">Read LAUNCH_PLAN.md / runbook</t>
  </si>
  <si>
    <t xml:space="preserve">Steps to notify users (and regulator when rules apply) documented</t>
  </si>
  <si>
    <t xml:space="preserve">PLAY-24</t>
  </si>
  <si>
    <t xml:space="preserve">Admin account protection</t>
  </si>
  <si>
    <t xml:space="preserve">Check admin Gmail</t>
  </si>
  <si>
    <t xml:space="preserve">2-step verification on; only 1-2 admins</t>
  </si>
  <si>
    <t xml:space="preserve">#</t>
  </si>
  <si>
    <t xml:space="preserve">Severity</t>
  </si>
  <si>
    <t xml:space="preserve">Reported / found</t>
  </si>
  <si>
    <t xml:space="preserve">Cause found in the APK</t>
  </si>
  <si>
    <t xml:space="preserve">Required change</t>
  </si>
  <si>
    <t xml:space="preserve">Test IDs</t>
  </si>
  <si>
    <t xml:space="preserve">I1</t>
  </si>
  <si>
    <t xml:space="preserve">Critical</t>
  </si>
  <si>
    <t xml:space="preserve">Hard-coded admin and demo credentials; 1-Click Admin / Doctor login; Fill Test OTP; client-side admin account creation</t>
  </si>
  <si>
    <t xml:space="preserve">Constants and login-screen code inside the app (unchanged in both APKs)</t>
  </si>
  <si>
    <t xml:space="preserve">Remove all of it; rotate passwords; admin by Firebase custom claim set by a script</t>
  </si>
  <si>
    <t xml:space="preserve">AUTH-23, ADA-11, SEC-01, SEC-02, SEC-03</t>
  </si>
  <si>
    <t xml:space="preserve">I2</t>
  </si>
  <si>
    <t xml:space="preserve">Production rules not verified; role is stored in a user document</t>
  </si>
  <si>
    <t xml:space="preserve">APK cannot show the rules</t>
  </si>
  <si>
    <t xml:space="preserve">Deny-by-default Firestore/Storage rules; rules unit tests; enforce status transitions server-side</t>
  </si>
  <si>
    <t xml:space="preserve">SEC-03 to SEC-10, SEC-14, ADM-16</t>
  </si>
  <si>
    <t xml:space="preserve">I3</t>
  </si>
  <si>
    <t xml:space="preserve">High</t>
  </si>
  <si>
    <t xml:space="preserve">Home dropdown tabs (Dental Chair ... Suction Pipe) show red error 'exactly one item with DropdownButton value'</t>
  </si>
  <si>
    <t xml:space="preserve">Dropdown built from config list with initialValue; tile names differ from config names; list can have duplicates/empty/changes; tiles open booking without category</t>
  </si>
  <si>
    <t xml:space="preserve">One category list with codes; de-duplicate; reset invalid selection; tiles preselect by code</t>
  </si>
  <si>
    <t xml:space="preserve">BKG-01 to BKG-04, HOME-05</t>
  </si>
  <si>
    <t xml:space="preserve">I4</t>
  </si>
  <si>
    <t xml:space="preserve">Active lead card does not show all requests; History opens same screen</t>
  </si>
  <si>
    <t xml:space="preserve">Home shows only active.first; app-bar icon and History both push the list with filter All</t>
  </si>
  <si>
    <t xml:space="preserve">Status tiles + all active requests; deep link to filtered list</t>
  </si>
  <si>
    <t xml:space="preserve">HOME-01 to HOME-04, DR-01</t>
  </si>
  <si>
    <t xml:space="preserve">I5</t>
  </si>
  <si>
    <t xml:space="preserve">Yellow-black overflow stripes (26 px etc.) on register, home, review, admin dashboard</t>
  </si>
  <si>
    <t xml:space="preserve">Fixed layouts without scroll or flexible widgets</t>
  </si>
  <si>
    <t xml:space="preserve">Make all screens scrollable/flexible; add overflow test at 3 sizes</t>
  </si>
  <si>
    <t xml:space="preserve">UI-01 to UI-04, AUTH-24, HOME-09, BKG-29, DSH-10</t>
  </si>
  <si>
    <t xml:space="preserve">I6</t>
  </si>
  <si>
    <t xml:space="preserve">'Use GPS' cannot work on Android</t>
  </si>
  <si>
    <t xml:space="preserve">Manifest has no ACCESS_FINE/COARSE_LOCATION</t>
  </si>
  <si>
    <t xml:space="preserve">Add permissions; use free device geocoder to fill address; no paid Maps/Places API</t>
  </si>
  <si>
    <t xml:space="preserve">BKG-20 to BKG-26</t>
  </si>
  <si>
    <t xml:space="preserve">I7</t>
  </si>
  <si>
    <t xml:space="preserve">Description must be 10+ characters</t>
  </si>
  <si>
    <t xml:space="preserve">Validators.description</t>
  </si>
  <si>
    <t xml:space="preserve">Any words, 1-500 chars</t>
  </si>
  <si>
    <t xml:space="preserve">BKG-05 to BKG-08</t>
  </si>
  <si>
    <t xml:space="preserve">I8</t>
  </si>
  <si>
    <t xml:space="preserve">Images/videos cost storage</t>
  </si>
  <si>
    <t xml:space="preserve">Photo/video config, models, Storage code</t>
  </si>
  <si>
    <t xml:space="preserve">Remove everything; Storage rules deny all</t>
  </si>
  <si>
    <t xml:space="preserve">BKG-09, SEC-10</t>
  </si>
  <si>
    <t xml:space="preserve">I9</t>
  </si>
  <si>
    <t xml:space="preserve">Address: Hyderabad only; landmark, pincode; mobile mandatory; auto-fill by location</t>
  </si>
  <si>
    <t xml:space="preserve">Address is a single free-text; no pincode or mobile check</t>
  </si>
  <si>
    <t xml:space="preserve">Structured address, pincode prefix check, mandatory mobile, Detect my location</t>
  </si>
  <si>
    <t xml:space="preserve">BKG-11 to BKG-26</t>
  </si>
  <si>
    <t xml:space="preserve">I10</t>
  </si>
  <si>
    <t xml:space="preserve">Login: remove OTP and Admin Portal; Google preferred; direct to Home after register; same account every time</t>
  </si>
  <si>
    <t xml:space="preserve">Phone OTP tab, admin link, profile-setup gate</t>
  </si>
  <si>
    <t xml:space="preserve">One login screen, Google first, no profile gate, persistent session</t>
  </si>
  <si>
    <t xml:space="preserve">AUTH-01 to AUTH-24</t>
  </si>
  <si>
    <t xml:space="preserve">I11</t>
  </si>
  <si>
    <t xml:space="preserve">Admin sign-in by admin email only; remember me; change password</t>
  </si>
  <si>
    <t xml:space="preserve">Separate admin login with fixed credentials</t>
  </si>
  <si>
    <t xml:space="preserve">Same login; admin claim routes to /admin; change password via Gmail link</t>
  </si>
  <si>
    <t xml:space="preserve">ADA-01 to ADA-10</t>
  </si>
  <si>
    <t xml:space="preserve">I12</t>
  </si>
  <si>
    <t xml:space="preserve">Medium</t>
  </si>
  <si>
    <t xml:space="preserve">Valid emails like .dental rejected</t>
  </si>
  <si>
    <t xml:space="preserve">Regex allows 2-4 letter endings only</t>
  </si>
  <si>
    <t xml:space="preserve">Looser email rule</t>
  </si>
  <si>
    <t xml:space="preserve">I13</t>
  </si>
  <si>
    <t xml:space="preserve">Admin dashboard tiles not actionable; unclear numbers; revenue meaning unclear</t>
  </si>
  <si>
    <t xml:space="preserve">Static tiles; whole collections streamed</t>
  </si>
  <si>
    <t xml:space="preserve">Tappable KPIs, Needs attention, aggregation queries, 'Paid to technicians' label</t>
  </si>
  <si>
    <t xml:space="preserve">DSH-01 to DSH-10</t>
  </si>
  <si>
    <t xml:space="preserve">I14</t>
  </si>
  <si>
    <t xml:space="preserve">Status buttons not linked; In Progress should need assignment; doctor and admin states must sync</t>
  </si>
  <si>
    <t xml:space="preserve">No transition enforcement or doctor actions</t>
  </si>
  <si>
    <t xml:space="preserve">5-status model, enforced in UI and rules, live sync, event history</t>
  </si>
  <si>
    <t xml:space="preserve">ADM-08 to ADM-18, DR-03 to DR-15</t>
  </si>
  <si>
    <t xml:space="preserve">I15</t>
  </si>
  <si>
    <t xml:space="preserve">Doctor closes ticket with amount paid to technician; denial/cancel handling</t>
  </si>
  <si>
    <t xml:space="preserve">Not built</t>
  </si>
  <si>
    <t xml:space="preserve">Mark as completed + amount + confirm; close on behalf; mandatory cancel reasons for doctor and admin</t>
  </si>
  <si>
    <t xml:space="preserve">DR-03 to DR-14, ADM-10 to ADM-14</t>
  </si>
  <si>
    <t xml:space="preserve">I16</t>
  </si>
  <si>
    <t xml:space="preserve">Doctor needs future time slots (9-12, 2-5, 6-9)</t>
  </si>
  <si>
    <t xml:space="preserve">Date + slot picker, future only, server-checked</t>
  </si>
  <si>
    <t xml:space="preserve">SLT-01 to SLT-13</t>
  </si>
  <si>
    <t xml:space="preserve">I17</t>
  </si>
  <si>
    <t xml:space="preserve">Fee text (Rs 0, free visit, inspection charges) is misleading</t>
  </si>
  <si>
    <t xml:space="preserve">Static copy</t>
  </si>
  <si>
    <t xml:space="preserve">Replace with 'free to use; pay technician directly'</t>
  </si>
  <si>
    <t xml:space="preserve">BKG-29, UI-09</t>
  </si>
  <si>
    <t xml:space="preserve">I18</t>
  </si>
  <si>
    <t xml:space="preserve">Fake technicians seeded from the app</t>
  </si>
  <si>
    <t xml:space="preserve">Client seed routine</t>
  </si>
  <si>
    <t xml:space="preserve">Remove; admin adds real technicians</t>
  </si>
  <si>
    <t xml:space="preserve">ADT-03 to ADT-06</t>
  </si>
  <si>
    <t xml:space="preserve">I19</t>
  </si>
  <si>
    <t xml:space="preserve">Debug build; dev/staging/prod configs; staging ribbon</t>
  </si>
  <si>
    <t xml:space="preserve">Debug APK (~175 MB)</t>
  </si>
  <si>
    <t xml:space="preserve">Flavors; signed release AAB; prod only on prod project</t>
  </si>
  <si>
    <t xml:space="preserve">DEP-01 to DEP-12, SEC-12, UI-06</t>
  </si>
  <si>
    <t xml:space="preserve">I20</t>
  </si>
  <si>
    <t xml:space="preserve">Scale to 1 lakh users</t>
  </si>
  <si>
    <t xml:space="preserve">Streams of full collections</t>
  </si>
  <si>
    <t xml:space="preserve">Pagination, aggregation, indexes, budgets, App Check</t>
  </si>
  <si>
    <t xml:space="preserve">PERF-01 to PERF-08</t>
  </si>
  <si>
    <t xml:space="preserve">I22</t>
  </si>
  <si>
    <t xml:space="preserve">Play Store and privacy rules must be met to publish</t>
  </si>
  <si>
    <t xml:space="preserve">Not covered in the app today (no policy, no deletion, no consent notice, target SDK unverified)</t>
  </si>
  <si>
    <t xml:space="preserve">Target API 36, minimal permissions, privacy policy and deletion pages, Data safety form, consent notice, closed test for personal accounts</t>
  </si>
  <si>
    <t xml:space="preserve">PLAY-01 to PLAY-24</t>
  </si>
  <si>
    <t xml:space="preserve">I21</t>
  </si>
  <si>
    <t xml:space="preserve">Missing for store launch: account deletion, privacy policy, support number, crash reporting</t>
  </si>
  <si>
    <t xml:space="preserve">Not present</t>
  </si>
  <si>
    <t xml:space="preserve">Add Profile screen, links, Crashlytics, Remote Config min version</t>
  </si>
  <si>
    <t xml:space="preserve">PRF-01, PRF-05, PRF-06, DEP-08, DEP-09</t>
  </si>
  <si>
    <t xml:space="preserve">Causes come from reading the APK's embedded code and manifest; both uploaded APKs contain the same code. Confirm each on a running build.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</si>
</sst>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6EFCE"/>
      </patternFill>
    </fill>
    <fill>
      <patternFill patternType="solid">
        <fgColor rgb="FFF8CBAD"/>
        <bgColor rgb="FFFFC7CE"/>
      </patternFill>
    </fill>
    <fill>
      <patternFill patternType="solid">
        <fgColor rgb="FFFFE699"/>
        <bgColor rgb="FFFFEB9C"/>
      </patternFill>
    </fill>
    <fill>
      <patternFill patternType="solid">
        <fgColor rgb="FFFFF2CC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699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8" min="3" style="0" width="1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customFormat="false" ht="15" hidden="false" customHeight="false" outlineLevel="0" collapsed="false">
      <c r="B7" s="5" t="s">
        <v>10</v>
      </c>
      <c r="C7" s="6" t="n">
        <f aca="false">COUNTIF('Test Cases'!$B:$B,B7)</f>
        <v>24</v>
      </c>
      <c r="D7" s="6" t="n">
        <f aca="false">COUNTIFS('Test Cases'!$B:$B,$B7,'Test Cases'!$L:$L,"Pass")</f>
        <v>0</v>
      </c>
      <c r="E7" s="6" t="n">
        <f aca="false">COUNTIFS('Test Cases'!$B:$B,$B7,'Test Cases'!$L:$L,"Fail")</f>
        <v>0</v>
      </c>
      <c r="F7" s="6" t="n">
        <f aca="false">COUNTIFS('Test Cases'!$B:$B,$B7,'Test Cases'!$L:$L,"Blocked")</f>
        <v>0</v>
      </c>
      <c r="G7" s="6" t="n">
        <f aca="false">COUNTIFS('Test Cases'!$B:$B,$B7,'Test Cases'!$L:$L,"Not Run")</f>
        <v>24</v>
      </c>
      <c r="H7" s="7" t="n">
        <f aca="false">IF(C7=0,0,D7/C7)</f>
        <v>0</v>
      </c>
    </row>
    <row r="8" customFormat="false" ht="15" hidden="false" customHeight="false" outlineLevel="0" collapsed="false">
      <c r="B8" s="5" t="s">
        <v>11</v>
      </c>
      <c r="C8" s="6" t="n">
        <f aca="false">COUNTIF('Test Cases'!$B:$B,B8)</f>
        <v>11</v>
      </c>
      <c r="D8" s="6" t="n">
        <f aca="false">COUNTIFS('Test Cases'!$B:$B,$B8,'Test Cases'!$L:$L,"Pass")</f>
        <v>0</v>
      </c>
      <c r="E8" s="6" t="n">
        <f aca="false">COUNTIFS('Test Cases'!$B:$B,$B8,'Test Cases'!$L:$L,"Fail")</f>
        <v>0</v>
      </c>
      <c r="F8" s="6" t="n">
        <f aca="false">COUNTIFS('Test Cases'!$B:$B,$B8,'Test Cases'!$L:$L,"Blocked")</f>
        <v>0</v>
      </c>
      <c r="G8" s="6" t="n">
        <f aca="false">COUNTIFS('Test Cases'!$B:$B,$B8,'Test Cases'!$L:$L,"Not Run")</f>
        <v>11</v>
      </c>
      <c r="H8" s="7" t="n">
        <f aca="false">IF(C8=0,0,D8/C8)</f>
        <v>0</v>
      </c>
    </row>
    <row r="9" customFormat="false" ht="15" hidden="false" customHeight="false" outlineLevel="0" collapsed="false">
      <c r="B9" s="5" t="s">
        <v>12</v>
      </c>
      <c r="C9" s="6" t="n">
        <f aca="false">COUNTIF('Test Cases'!$B:$B,B9)</f>
        <v>6</v>
      </c>
      <c r="D9" s="6" t="n">
        <f aca="false">COUNTIFS('Test Cases'!$B:$B,$B9,'Test Cases'!$L:$L,"Pass")</f>
        <v>0</v>
      </c>
      <c r="E9" s="6" t="n">
        <f aca="false">COUNTIFS('Test Cases'!$B:$B,$B9,'Test Cases'!$L:$L,"Fail")</f>
        <v>0</v>
      </c>
      <c r="F9" s="6" t="n">
        <f aca="false">COUNTIFS('Test Cases'!$B:$B,$B9,'Test Cases'!$L:$L,"Blocked")</f>
        <v>0</v>
      </c>
      <c r="G9" s="6" t="n">
        <f aca="false">COUNTIFS('Test Cases'!$B:$B,$B9,'Test Cases'!$L:$L,"Not Run")</f>
        <v>6</v>
      </c>
      <c r="H9" s="7" t="n">
        <f aca="false">IF(C9=0,0,D9/C9)</f>
        <v>0</v>
      </c>
    </row>
    <row r="10" customFormat="false" ht="15" hidden="false" customHeight="false" outlineLevel="0" collapsed="false">
      <c r="B10" s="5" t="s">
        <v>13</v>
      </c>
      <c r="C10" s="6" t="n">
        <f aca="false">COUNTIF('Test Cases'!$B:$B,B10)</f>
        <v>10</v>
      </c>
      <c r="D10" s="6" t="n">
        <f aca="false">COUNTIFS('Test Cases'!$B:$B,$B10,'Test Cases'!$L:$L,"Pass")</f>
        <v>0</v>
      </c>
      <c r="E10" s="6" t="n">
        <f aca="false">COUNTIFS('Test Cases'!$B:$B,$B10,'Test Cases'!$L:$L,"Fail")</f>
        <v>0</v>
      </c>
      <c r="F10" s="6" t="n">
        <f aca="false">COUNTIFS('Test Cases'!$B:$B,$B10,'Test Cases'!$L:$L,"Blocked")</f>
        <v>0</v>
      </c>
      <c r="G10" s="6" t="n">
        <f aca="false">COUNTIFS('Test Cases'!$B:$B,$B10,'Test Cases'!$L:$L,"Not Run")</f>
        <v>10</v>
      </c>
      <c r="H10" s="7" t="n">
        <f aca="false">IF(C10=0,0,D10/C10)</f>
        <v>0</v>
      </c>
    </row>
    <row r="11" customFormat="false" ht="15" hidden="false" customHeight="false" outlineLevel="0" collapsed="false">
      <c r="B11" s="5" t="s">
        <v>14</v>
      </c>
      <c r="C11" s="6" t="n">
        <f aca="false">COUNTIF('Test Cases'!$B:$B,B11)</f>
        <v>35</v>
      </c>
      <c r="D11" s="6" t="n">
        <f aca="false">COUNTIFS('Test Cases'!$B:$B,$B11,'Test Cases'!$L:$L,"Pass")</f>
        <v>0</v>
      </c>
      <c r="E11" s="6" t="n">
        <f aca="false">COUNTIFS('Test Cases'!$B:$B,$B11,'Test Cases'!$L:$L,"Fail")</f>
        <v>0</v>
      </c>
      <c r="F11" s="6" t="n">
        <f aca="false">COUNTIFS('Test Cases'!$B:$B,$B11,'Test Cases'!$L:$L,"Blocked")</f>
        <v>0</v>
      </c>
      <c r="G11" s="6" t="n">
        <f aca="false">COUNTIFS('Test Cases'!$B:$B,$B11,'Test Cases'!$L:$L,"Not Run")</f>
        <v>35</v>
      </c>
      <c r="H11" s="7" t="n">
        <f aca="false">IF(C11=0,0,D11/C11)</f>
        <v>0</v>
      </c>
    </row>
    <row r="12" customFormat="false" ht="15" hidden="false" customHeight="false" outlineLevel="0" collapsed="false">
      <c r="B12" s="5" t="s">
        <v>15</v>
      </c>
      <c r="C12" s="6" t="n">
        <f aca="false">COUNTIF('Test Cases'!$B:$B,B12)</f>
        <v>13</v>
      </c>
      <c r="D12" s="6" t="n">
        <f aca="false">COUNTIFS('Test Cases'!$B:$B,$B12,'Test Cases'!$L:$L,"Pass")</f>
        <v>0</v>
      </c>
      <c r="E12" s="6" t="n">
        <f aca="false">COUNTIFS('Test Cases'!$B:$B,$B12,'Test Cases'!$L:$L,"Fail")</f>
        <v>0</v>
      </c>
      <c r="F12" s="6" t="n">
        <f aca="false">COUNTIFS('Test Cases'!$B:$B,$B12,'Test Cases'!$L:$L,"Blocked")</f>
        <v>0</v>
      </c>
      <c r="G12" s="6" t="n">
        <f aca="false">COUNTIFS('Test Cases'!$B:$B,$B12,'Test Cases'!$L:$L,"Not Run")</f>
        <v>13</v>
      </c>
      <c r="H12" s="7" t="n">
        <f aca="false">IF(C12=0,0,D12/C12)</f>
        <v>0</v>
      </c>
    </row>
    <row r="13" customFormat="false" ht="15" hidden="false" customHeight="false" outlineLevel="0" collapsed="false">
      <c r="B13" s="5" t="s">
        <v>16</v>
      </c>
      <c r="C13" s="6" t="n">
        <f aca="false">COUNTIF('Test Cases'!$B:$B,B13)</f>
        <v>17</v>
      </c>
      <c r="D13" s="6" t="n">
        <f aca="false">COUNTIFS('Test Cases'!$B:$B,$B13,'Test Cases'!$L:$L,"Pass")</f>
        <v>0</v>
      </c>
      <c r="E13" s="6" t="n">
        <f aca="false">COUNTIFS('Test Cases'!$B:$B,$B13,'Test Cases'!$L:$L,"Fail")</f>
        <v>0</v>
      </c>
      <c r="F13" s="6" t="n">
        <f aca="false">COUNTIFS('Test Cases'!$B:$B,$B13,'Test Cases'!$L:$L,"Blocked")</f>
        <v>0</v>
      </c>
      <c r="G13" s="6" t="n">
        <f aca="false">COUNTIFS('Test Cases'!$B:$B,$B13,'Test Cases'!$L:$L,"Not Run")</f>
        <v>17</v>
      </c>
      <c r="H13" s="7" t="n">
        <f aca="false">IF(C13=0,0,D13/C13)</f>
        <v>0</v>
      </c>
    </row>
    <row r="14" customFormat="false" ht="15" hidden="false" customHeight="false" outlineLevel="0" collapsed="false">
      <c r="B14" s="5" t="s">
        <v>17</v>
      </c>
      <c r="C14" s="6" t="n">
        <f aca="false">COUNTIF('Test Cases'!$B:$B,B14)</f>
        <v>21</v>
      </c>
      <c r="D14" s="6" t="n">
        <f aca="false">COUNTIFS('Test Cases'!$B:$B,$B14,'Test Cases'!$L:$L,"Pass")</f>
        <v>0</v>
      </c>
      <c r="E14" s="6" t="n">
        <f aca="false">COUNTIFS('Test Cases'!$B:$B,$B14,'Test Cases'!$L:$L,"Fail")</f>
        <v>0</v>
      </c>
      <c r="F14" s="6" t="n">
        <f aca="false">COUNTIFS('Test Cases'!$B:$B,$B14,'Test Cases'!$L:$L,"Blocked")</f>
        <v>0</v>
      </c>
      <c r="G14" s="6" t="n">
        <f aca="false">COUNTIFS('Test Cases'!$B:$B,$B14,'Test Cases'!$L:$L,"Not Run")</f>
        <v>21</v>
      </c>
      <c r="H14" s="7" t="n">
        <f aca="false">IF(C14=0,0,D14/C14)</f>
        <v>0</v>
      </c>
    </row>
    <row r="15" customFormat="false" ht="15" hidden="false" customHeight="false" outlineLevel="0" collapsed="false">
      <c r="B15" s="5" t="s">
        <v>18</v>
      </c>
      <c r="C15" s="6" t="n">
        <f aca="false">COUNTIF('Test Cases'!$B:$B,B15)</f>
        <v>10</v>
      </c>
      <c r="D15" s="6" t="n">
        <f aca="false">COUNTIFS('Test Cases'!$B:$B,$B15,'Test Cases'!$L:$L,"Pass")</f>
        <v>0</v>
      </c>
      <c r="E15" s="6" t="n">
        <f aca="false">COUNTIFS('Test Cases'!$B:$B,$B15,'Test Cases'!$L:$L,"Fail")</f>
        <v>0</v>
      </c>
      <c r="F15" s="6" t="n">
        <f aca="false">COUNTIFS('Test Cases'!$B:$B,$B15,'Test Cases'!$L:$L,"Blocked")</f>
        <v>0</v>
      </c>
      <c r="G15" s="6" t="n">
        <f aca="false">COUNTIFS('Test Cases'!$B:$B,$B15,'Test Cases'!$L:$L,"Not Run")</f>
        <v>10</v>
      </c>
      <c r="H15" s="7" t="n">
        <f aca="false">IF(C15=0,0,D15/C15)</f>
        <v>0</v>
      </c>
    </row>
    <row r="16" customFormat="false" ht="15" hidden="false" customHeight="false" outlineLevel="0" collapsed="false">
      <c r="B16" s="5" t="s">
        <v>19</v>
      </c>
      <c r="C16" s="6" t="n">
        <f aca="false">COUNTIF('Test Cases'!$B:$B,B16)</f>
        <v>9</v>
      </c>
      <c r="D16" s="6" t="n">
        <f aca="false">COUNTIFS('Test Cases'!$B:$B,$B16,'Test Cases'!$L:$L,"Pass")</f>
        <v>0</v>
      </c>
      <c r="E16" s="6" t="n">
        <f aca="false">COUNTIFS('Test Cases'!$B:$B,$B16,'Test Cases'!$L:$L,"Fail")</f>
        <v>0</v>
      </c>
      <c r="F16" s="6" t="n">
        <f aca="false">COUNTIFS('Test Cases'!$B:$B,$B16,'Test Cases'!$L:$L,"Blocked")</f>
        <v>0</v>
      </c>
      <c r="G16" s="6" t="n">
        <f aca="false">COUNTIFS('Test Cases'!$B:$B,$B16,'Test Cases'!$L:$L,"Not Run")</f>
        <v>9</v>
      </c>
      <c r="H16" s="7" t="n">
        <f aca="false">IF(C16=0,0,D16/C16)</f>
        <v>0</v>
      </c>
    </row>
    <row r="17" customFormat="false" ht="15" hidden="false" customHeight="false" outlineLevel="0" collapsed="false">
      <c r="B17" s="5" t="s">
        <v>20</v>
      </c>
      <c r="C17" s="6" t="n">
        <f aca="false">COUNTIF('Test Cases'!$B:$B,B17)</f>
        <v>10</v>
      </c>
      <c r="D17" s="6" t="n">
        <f aca="false">COUNTIFS('Test Cases'!$B:$B,$B17,'Test Cases'!$L:$L,"Pass")</f>
        <v>0</v>
      </c>
      <c r="E17" s="6" t="n">
        <f aca="false">COUNTIFS('Test Cases'!$B:$B,$B17,'Test Cases'!$L:$L,"Fail")</f>
        <v>0</v>
      </c>
      <c r="F17" s="6" t="n">
        <f aca="false">COUNTIFS('Test Cases'!$B:$B,$B17,'Test Cases'!$L:$L,"Blocked")</f>
        <v>0</v>
      </c>
      <c r="G17" s="6" t="n">
        <f aca="false">COUNTIFS('Test Cases'!$B:$B,$B17,'Test Cases'!$L:$L,"Not Run")</f>
        <v>10</v>
      </c>
      <c r="H17" s="7" t="n">
        <f aca="false">IF(C17=0,0,D17/C17)</f>
        <v>0</v>
      </c>
    </row>
    <row r="18" customFormat="false" ht="15" hidden="false" customHeight="false" outlineLevel="0" collapsed="false">
      <c r="B18" s="5" t="s">
        <v>21</v>
      </c>
      <c r="C18" s="6" t="n">
        <f aca="false">COUNTIF('Test Cases'!$B:$B,B18)</f>
        <v>9</v>
      </c>
      <c r="D18" s="6" t="n">
        <f aca="false">COUNTIFS('Test Cases'!$B:$B,$B18,'Test Cases'!$L:$L,"Pass")</f>
        <v>0</v>
      </c>
      <c r="E18" s="6" t="n">
        <f aca="false">COUNTIFS('Test Cases'!$B:$B,$B18,'Test Cases'!$L:$L,"Fail")</f>
        <v>0</v>
      </c>
      <c r="F18" s="6" t="n">
        <f aca="false">COUNTIFS('Test Cases'!$B:$B,$B18,'Test Cases'!$L:$L,"Blocked")</f>
        <v>0</v>
      </c>
      <c r="G18" s="6" t="n">
        <f aca="false">COUNTIFS('Test Cases'!$B:$B,$B18,'Test Cases'!$L:$L,"Not Run")</f>
        <v>9</v>
      </c>
      <c r="H18" s="7" t="n">
        <f aca="false">IF(C18=0,0,D18/C18)</f>
        <v>0</v>
      </c>
    </row>
    <row r="19" customFormat="false" ht="15" hidden="false" customHeight="false" outlineLevel="0" collapsed="false">
      <c r="B19" s="5" t="s">
        <v>22</v>
      </c>
      <c r="C19" s="6" t="n">
        <f aca="false">COUNTIF('Test Cases'!$B:$B,B19)</f>
        <v>16</v>
      </c>
      <c r="D19" s="6" t="n">
        <f aca="false">COUNTIFS('Test Cases'!$B:$B,$B19,'Test Cases'!$L:$L,"Pass")</f>
        <v>0</v>
      </c>
      <c r="E19" s="6" t="n">
        <f aca="false">COUNTIFS('Test Cases'!$B:$B,$B19,'Test Cases'!$L:$L,"Fail")</f>
        <v>0</v>
      </c>
      <c r="F19" s="6" t="n">
        <f aca="false">COUNTIFS('Test Cases'!$B:$B,$B19,'Test Cases'!$L:$L,"Blocked")</f>
        <v>0</v>
      </c>
      <c r="G19" s="6" t="n">
        <f aca="false">COUNTIFS('Test Cases'!$B:$B,$B19,'Test Cases'!$L:$L,"Not Run")</f>
        <v>16</v>
      </c>
      <c r="H19" s="7" t="n">
        <f aca="false">IF(C19=0,0,D19/C19)</f>
        <v>0</v>
      </c>
    </row>
    <row r="20" customFormat="false" ht="15" hidden="false" customHeight="false" outlineLevel="0" collapsed="false">
      <c r="B20" s="5" t="s">
        <v>23</v>
      </c>
      <c r="C20" s="6" t="n">
        <f aca="false">COUNTIF('Test Cases'!$B:$B,B20)</f>
        <v>8</v>
      </c>
      <c r="D20" s="6" t="n">
        <f aca="false">COUNTIFS('Test Cases'!$B:$B,$B20,'Test Cases'!$L:$L,"Pass")</f>
        <v>0</v>
      </c>
      <c r="E20" s="6" t="n">
        <f aca="false">COUNTIFS('Test Cases'!$B:$B,$B20,'Test Cases'!$L:$L,"Fail")</f>
        <v>0</v>
      </c>
      <c r="F20" s="6" t="n">
        <f aca="false">COUNTIFS('Test Cases'!$B:$B,$B20,'Test Cases'!$L:$L,"Blocked")</f>
        <v>0</v>
      </c>
      <c r="G20" s="6" t="n">
        <f aca="false">COUNTIFS('Test Cases'!$B:$B,$B20,'Test Cases'!$L:$L,"Not Run")</f>
        <v>8</v>
      </c>
      <c r="H20" s="7" t="n">
        <f aca="false">IF(C20=0,0,D20/C20)</f>
        <v>0</v>
      </c>
    </row>
    <row r="21" customFormat="false" ht="15" hidden="false" customHeight="false" outlineLevel="0" collapsed="false">
      <c r="B21" s="5" t="s">
        <v>24</v>
      </c>
      <c r="C21" s="6" t="n">
        <f aca="false">COUNTIF('Test Cases'!$B:$B,B21)</f>
        <v>6</v>
      </c>
      <c r="D21" s="6" t="n">
        <f aca="false">COUNTIFS('Test Cases'!$B:$B,$B21,'Test Cases'!$L:$L,"Pass")</f>
        <v>0</v>
      </c>
      <c r="E21" s="6" t="n">
        <f aca="false">COUNTIFS('Test Cases'!$B:$B,$B21,'Test Cases'!$L:$L,"Fail")</f>
        <v>0</v>
      </c>
      <c r="F21" s="6" t="n">
        <f aca="false">COUNTIFS('Test Cases'!$B:$B,$B21,'Test Cases'!$L:$L,"Blocked")</f>
        <v>0</v>
      </c>
      <c r="G21" s="6" t="n">
        <f aca="false">COUNTIFS('Test Cases'!$B:$B,$B21,'Test Cases'!$L:$L,"Not Run")</f>
        <v>6</v>
      </c>
      <c r="H21" s="7" t="n">
        <f aca="false">IF(C21=0,0,D21/C21)</f>
        <v>0</v>
      </c>
    </row>
    <row r="22" customFormat="false" ht="15" hidden="false" customHeight="false" outlineLevel="0" collapsed="false">
      <c r="B22" s="5" t="s">
        <v>25</v>
      </c>
      <c r="C22" s="6" t="n">
        <f aca="false">COUNTIF('Test Cases'!$B:$B,B22)</f>
        <v>12</v>
      </c>
      <c r="D22" s="6" t="n">
        <f aca="false">COUNTIFS('Test Cases'!$B:$B,$B22,'Test Cases'!$L:$L,"Pass")</f>
        <v>0</v>
      </c>
      <c r="E22" s="6" t="n">
        <f aca="false">COUNTIFS('Test Cases'!$B:$B,$B22,'Test Cases'!$L:$L,"Fail")</f>
        <v>0</v>
      </c>
      <c r="F22" s="6" t="n">
        <f aca="false">COUNTIFS('Test Cases'!$B:$B,$B22,'Test Cases'!$L:$L,"Blocked")</f>
        <v>0</v>
      </c>
      <c r="G22" s="6" t="n">
        <f aca="false">COUNTIFS('Test Cases'!$B:$B,$B22,'Test Cases'!$L:$L,"Not Run")</f>
        <v>12</v>
      </c>
      <c r="H22" s="7" t="n">
        <f aca="false">IF(C22=0,0,D22/C22)</f>
        <v>0</v>
      </c>
    </row>
    <row r="23" customFormat="false" ht="15" hidden="false" customHeight="false" outlineLevel="0" collapsed="false">
      <c r="B23" s="5" t="s">
        <v>26</v>
      </c>
      <c r="C23" s="6" t="n">
        <f aca="false">COUNTIF('Test Cases'!$B:$B,B23)</f>
        <v>24</v>
      </c>
      <c r="D23" s="6" t="n">
        <f aca="false">COUNTIFS('Test Cases'!$B:$B,$B23,'Test Cases'!$L:$L,"Pass")</f>
        <v>0</v>
      </c>
      <c r="E23" s="6" t="n">
        <f aca="false">COUNTIFS('Test Cases'!$B:$B,$B23,'Test Cases'!$L:$L,"Fail")</f>
        <v>0</v>
      </c>
      <c r="F23" s="6" t="n">
        <f aca="false">COUNTIFS('Test Cases'!$B:$B,$B23,'Test Cases'!$L:$L,"Blocked")</f>
        <v>0</v>
      </c>
      <c r="G23" s="6" t="n">
        <f aca="false">COUNTIFS('Test Cases'!$B:$B,$B23,'Test Cases'!$L:$L,"Not Run")</f>
        <v>24</v>
      </c>
      <c r="H23" s="7" t="n">
        <f aca="false">IF(C23=0,0,D23/C23)</f>
        <v>0</v>
      </c>
    </row>
    <row r="24" customFormat="false" ht="15" hidden="false" customHeight="false" outlineLevel="0" collapsed="false">
      <c r="B24" s="8" t="s">
        <v>27</v>
      </c>
      <c r="C24" s="9" t="n">
        <f aca="false">SUM(C7:C23)</f>
        <v>241</v>
      </c>
      <c r="D24" s="9" t="n">
        <f aca="false">SUM(D7:D23)</f>
        <v>0</v>
      </c>
      <c r="E24" s="9" t="n">
        <f aca="false">SUM(E7:E23)</f>
        <v>0</v>
      </c>
      <c r="F24" s="9" t="n">
        <f aca="false">SUM(F7:F23)</f>
        <v>0</v>
      </c>
      <c r="G24" s="9" t="n">
        <f aca="false">SUM(G7:G23)</f>
        <v>241</v>
      </c>
      <c r="H24" s="10" t="n">
        <f aca="false">IF(C24=0,0,D24/C24)</f>
        <v>0</v>
      </c>
    </row>
    <row r="26" customFormat="false" ht="15" hidden="false" customHeight="false" outlineLevel="0" collapsed="false">
      <c r="B26" s="11" t="s">
        <v>28</v>
      </c>
      <c r="C26" s="12" t="n">
        <f aca="false">COUNTIF('Test Cases'!$E:$E,"Smoke")</f>
        <v>89</v>
      </c>
    </row>
    <row r="27" customFormat="false" ht="15" hidden="false" customHeight="false" outlineLevel="0" collapsed="false">
      <c r="B27" s="11" t="s">
        <v>29</v>
      </c>
      <c r="C27" s="12" t="n">
        <f aca="false">COUNTIFS('Test Cases'!$D:$D,"P0",'Test Cases'!$L:$L,"&lt;&gt;Pass")</f>
        <v>104</v>
      </c>
    </row>
    <row r="29" customFormat="false" ht="15" hidden="false" customHeight="false" outlineLevel="0" collapsed="false">
      <c r="B29" s="2" t="s">
        <v>30</v>
      </c>
    </row>
    <row r="30" customFormat="false" ht="15" hidden="false" customHeight="false" outlineLevel="0" collapsed="false">
      <c r="B30" s="2" t="s">
        <v>31</v>
      </c>
    </row>
    <row r="31" customFormat="false" ht="15" hidden="false" customHeight="false" outlineLevel="0" collapsed="false">
      <c r="B31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40"/>
    <col collapsed="false" customWidth="true" hidden="false" outlineLevel="0" max="8" min="7" style="0" width="52"/>
    <col collapsed="false" customWidth="true" hidden="false" outlineLevel="0" max="9" min="9" style="0" width="30"/>
    <col collapsed="false" customWidth="true" hidden="false" outlineLevel="0" max="10" min="10" style="0" width="34"/>
    <col collapsed="false" customWidth="true" hidden="false" outlineLevel="0" max="12" min="11" style="0" width="12"/>
  </cols>
  <sheetData>
    <row r="1" customFormat="false" ht="15" hidden="false" customHeight="false" outlineLevel="0" collapsed="false">
      <c r="A1" s="13" t="s">
        <v>33</v>
      </c>
      <c r="B1" s="13" t="s">
        <v>3</v>
      </c>
      <c r="C1" s="13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  <c r="L1" s="13" t="s">
        <v>43</v>
      </c>
    </row>
    <row r="2" customFormat="false" ht="35.05" hidden="false" customHeight="false" outlineLevel="0" collapsed="false">
      <c r="A2" s="14" t="s">
        <v>44</v>
      </c>
      <c r="B2" s="14" t="s">
        <v>10</v>
      </c>
      <c r="C2" s="14" t="s">
        <v>45</v>
      </c>
      <c r="D2" s="14" t="s">
        <v>46</v>
      </c>
      <c r="E2" s="14" t="s">
        <v>47</v>
      </c>
      <c r="F2" s="14" t="s">
        <v>48</v>
      </c>
      <c r="G2" s="14" t="s">
        <v>49</v>
      </c>
      <c r="H2" s="14" t="s">
        <v>50</v>
      </c>
      <c r="I2" s="14"/>
      <c r="J2" s="14"/>
      <c r="K2" s="14"/>
      <c r="L2" s="14" t="s">
        <v>8</v>
      </c>
    </row>
    <row r="3" customFormat="false" ht="23.85" hidden="false" customHeight="false" outlineLevel="0" collapsed="false">
      <c r="A3" s="14" t="s">
        <v>51</v>
      </c>
      <c r="B3" s="14" t="s">
        <v>10</v>
      </c>
      <c r="C3" s="14" t="s">
        <v>45</v>
      </c>
      <c r="D3" s="14" t="s">
        <v>46</v>
      </c>
      <c r="E3" s="14" t="s">
        <v>47</v>
      </c>
      <c r="F3" s="14" t="s">
        <v>52</v>
      </c>
      <c r="G3" s="14" t="s">
        <v>53</v>
      </c>
      <c r="H3" s="14" t="s">
        <v>54</v>
      </c>
      <c r="I3" s="14"/>
      <c r="J3" s="14"/>
      <c r="K3" s="14"/>
      <c r="L3" s="14" t="s">
        <v>8</v>
      </c>
    </row>
    <row r="4" customFormat="false" ht="23.85" hidden="false" customHeight="false" outlineLevel="0" collapsed="false">
      <c r="A4" s="14" t="s">
        <v>55</v>
      </c>
      <c r="B4" s="14" t="s">
        <v>10</v>
      </c>
      <c r="C4" s="14" t="s">
        <v>56</v>
      </c>
      <c r="D4" s="14" t="s">
        <v>57</v>
      </c>
      <c r="E4" s="14" t="s">
        <v>58</v>
      </c>
      <c r="F4" s="14" t="s">
        <v>59</v>
      </c>
      <c r="G4" s="14" t="s">
        <v>60</v>
      </c>
      <c r="H4" s="14" t="s">
        <v>61</v>
      </c>
      <c r="I4" s="14"/>
      <c r="J4" s="14"/>
      <c r="K4" s="14"/>
      <c r="L4" s="14" t="s">
        <v>8</v>
      </c>
    </row>
    <row r="5" customFormat="false" ht="23.85" hidden="false" customHeight="false" outlineLevel="0" collapsed="false">
      <c r="A5" s="14" t="s">
        <v>62</v>
      </c>
      <c r="B5" s="14" t="s">
        <v>10</v>
      </c>
      <c r="C5" s="14" t="s">
        <v>56</v>
      </c>
      <c r="D5" s="14" t="s">
        <v>63</v>
      </c>
      <c r="E5" s="14" t="s">
        <v>58</v>
      </c>
      <c r="F5" s="14" t="s">
        <v>64</v>
      </c>
      <c r="G5" s="14" t="s">
        <v>65</v>
      </c>
      <c r="H5" s="14" t="s">
        <v>66</v>
      </c>
      <c r="I5" s="14"/>
      <c r="J5" s="14"/>
      <c r="K5" s="14"/>
      <c r="L5" s="14" t="s">
        <v>8</v>
      </c>
    </row>
    <row r="6" customFormat="false" ht="23.85" hidden="false" customHeight="false" outlineLevel="0" collapsed="false">
      <c r="A6" s="14" t="s">
        <v>67</v>
      </c>
      <c r="B6" s="14" t="s">
        <v>10</v>
      </c>
      <c r="C6" s="14" t="s">
        <v>45</v>
      </c>
      <c r="D6" s="14" t="s">
        <v>46</v>
      </c>
      <c r="E6" s="14" t="s">
        <v>47</v>
      </c>
      <c r="F6" s="14" t="s">
        <v>68</v>
      </c>
      <c r="G6" s="14" t="s">
        <v>69</v>
      </c>
      <c r="H6" s="14" t="s">
        <v>70</v>
      </c>
      <c r="I6" s="14"/>
      <c r="J6" s="14"/>
      <c r="K6" s="14"/>
      <c r="L6" s="14" t="s">
        <v>8</v>
      </c>
    </row>
    <row r="7" customFormat="false" ht="23.85" hidden="false" customHeight="false" outlineLevel="0" collapsed="false">
      <c r="A7" s="14" t="s">
        <v>71</v>
      </c>
      <c r="B7" s="14" t="s">
        <v>10</v>
      </c>
      <c r="C7" s="14" t="s">
        <v>56</v>
      </c>
      <c r="D7" s="14" t="s">
        <v>63</v>
      </c>
      <c r="E7" s="14" t="s">
        <v>58</v>
      </c>
      <c r="F7" s="14" t="s">
        <v>72</v>
      </c>
      <c r="G7" s="14" t="s">
        <v>73</v>
      </c>
      <c r="H7" s="14" t="s">
        <v>74</v>
      </c>
      <c r="I7" s="14"/>
      <c r="J7" s="14"/>
      <c r="K7" s="14"/>
      <c r="L7" s="14" t="s">
        <v>8</v>
      </c>
    </row>
    <row r="8" customFormat="false" ht="15" hidden="false" customHeight="false" outlineLevel="0" collapsed="false">
      <c r="A8" s="14" t="s">
        <v>75</v>
      </c>
      <c r="B8" s="14" t="s">
        <v>10</v>
      </c>
      <c r="C8" s="14" t="s">
        <v>56</v>
      </c>
      <c r="D8" s="14" t="s">
        <v>63</v>
      </c>
      <c r="E8" s="14" t="s">
        <v>58</v>
      </c>
      <c r="F8" s="14" t="s">
        <v>76</v>
      </c>
      <c r="G8" s="14" t="s">
        <v>77</v>
      </c>
      <c r="H8" s="14" t="s">
        <v>78</v>
      </c>
      <c r="I8" s="14"/>
      <c r="J8" s="14"/>
      <c r="K8" s="14"/>
      <c r="L8" s="14" t="s">
        <v>8</v>
      </c>
    </row>
    <row r="9" customFormat="false" ht="23.85" hidden="false" customHeight="false" outlineLevel="0" collapsed="false">
      <c r="A9" s="14" t="s">
        <v>79</v>
      </c>
      <c r="B9" s="14" t="s">
        <v>10</v>
      </c>
      <c r="C9" s="14" t="s">
        <v>80</v>
      </c>
      <c r="D9" s="14" t="s">
        <v>63</v>
      </c>
      <c r="E9" s="14" t="s">
        <v>58</v>
      </c>
      <c r="F9" s="14" t="s">
        <v>81</v>
      </c>
      <c r="G9" s="14" t="s">
        <v>82</v>
      </c>
      <c r="H9" s="14" t="s">
        <v>83</v>
      </c>
      <c r="I9" s="14"/>
      <c r="J9" s="14"/>
      <c r="K9" s="14"/>
      <c r="L9" s="14" t="s">
        <v>8</v>
      </c>
    </row>
    <row r="10" customFormat="false" ht="23.85" hidden="false" customHeight="false" outlineLevel="0" collapsed="false">
      <c r="A10" s="14" t="s">
        <v>84</v>
      </c>
      <c r="B10" s="14" t="s">
        <v>10</v>
      </c>
      <c r="C10" s="14" t="s">
        <v>56</v>
      </c>
      <c r="D10" s="14" t="s">
        <v>63</v>
      </c>
      <c r="E10" s="14" t="s">
        <v>58</v>
      </c>
      <c r="F10" s="14" t="s">
        <v>85</v>
      </c>
      <c r="G10" s="14" t="s">
        <v>86</v>
      </c>
      <c r="H10" s="14" t="s">
        <v>87</v>
      </c>
      <c r="I10" s="14"/>
      <c r="J10" s="14"/>
      <c r="K10" s="14"/>
      <c r="L10" s="14" t="s">
        <v>8</v>
      </c>
    </row>
    <row r="11" customFormat="false" ht="15" hidden="false" customHeight="false" outlineLevel="0" collapsed="false">
      <c r="A11" s="14" t="s">
        <v>88</v>
      </c>
      <c r="B11" s="14" t="s">
        <v>10</v>
      </c>
      <c r="C11" s="14" t="s">
        <v>56</v>
      </c>
      <c r="D11" s="14" t="s">
        <v>46</v>
      </c>
      <c r="E11" s="14" t="s">
        <v>47</v>
      </c>
      <c r="F11" s="14" t="s">
        <v>89</v>
      </c>
      <c r="G11" s="14" t="s">
        <v>90</v>
      </c>
      <c r="H11" s="14" t="s">
        <v>91</v>
      </c>
      <c r="I11" s="14"/>
      <c r="J11" s="14"/>
      <c r="K11" s="14"/>
      <c r="L11" s="14" t="s">
        <v>8</v>
      </c>
    </row>
    <row r="12" customFormat="false" ht="15" hidden="false" customHeight="false" outlineLevel="0" collapsed="false">
      <c r="A12" s="14" t="s">
        <v>92</v>
      </c>
      <c r="B12" s="14" t="s">
        <v>10</v>
      </c>
      <c r="C12" s="14" t="s">
        <v>45</v>
      </c>
      <c r="D12" s="14" t="s">
        <v>46</v>
      </c>
      <c r="E12" s="14" t="s">
        <v>47</v>
      </c>
      <c r="F12" s="14" t="s">
        <v>93</v>
      </c>
      <c r="G12" s="14" t="s">
        <v>94</v>
      </c>
      <c r="H12" s="14" t="s">
        <v>95</v>
      </c>
      <c r="I12" s="14"/>
      <c r="J12" s="14"/>
      <c r="K12" s="14"/>
      <c r="L12" s="14" t="s">
        <v>8</v>
      </c>
    </row>
    <row r="13" customFormat="false" ht="15" hidden="false" customHeight="false" outlineLevel="0" collapsed="false">
      <c r="A13" s="14" t="s">
        <v>96</v>
      </c>
      <c r="B13" s="14" t="s">
        <v>10</v>
      </c>
      <c r="C13" s="14" t="s">
        <v>56</v>
      </c>
      <c r="D13" s="14" t="s">
        <v>46</v>
      </c>
      <c r="E13" s="14" t="s">
        <v>47</v>
      </c>
      <c r="F13" s="14" t="s">
        <v>97</v>
      </c>
      <c r="G13" s="14" t="s">
        <v>98</v>
      </c>
      <c r="H13" s="14" t="s">
        <v>99</v>
      </c>
      <c r="I13" s="14"/>
      <c r="J13" s="14"/>
      <c r="K13" s="14"/>
      <c r="L13" s="14" t="s">
        <v>8</v>
      </c>
    </row>
    <row r="14" customFormat="false" ht="15" hidden="false" customHeight="false" outlineLevel="0" collapsed="false">
      <c r="A14" s="14" t="s">
        <v>100</v>
      </c>
      <c r="B14" s="14" t="s">
        <v>10</v>
      </c>
      <c r="C14" s="14" t="s">
        <v>56</v>
      </c>
      <c r="D14" s="14" t="s">
        <v>63</v>
      </c>
      <c r="E14" s="14" t="s">
        <v>58</v>
      </c>
      <c r="F14" s="14" t="s">
        <v>101</v>
      </c>
      <c r="G14" s="14" t="s">
        <v>102</v>
      </c>
      <c r="H14" s="14" t="s">
        <v>103</v>
      </c>
      <c r="I14" s="14"/>
      <c r="J14" s="14"/>
      <c r="K14" s="14"/>
      <c r="L14" s="14" t="s">
        <v>8</v>
      </c>
    </row>
    <row r="15" customFormat="false" ht="23.85" hidden="false" customHeight="false" outlineLevel="0" collapsed="false">
      <c r="A15" s="14" t="s">
        <v>104</v>
      </c>
      <c r="B15" s="14" t="s">
        <v>10</v>
      </c>
      <c r="C15" s="14" t="s">
        <v>45</v>
      </c>
      <c r="D15" s="14" t="s">
        <v>63</v>
      </c>
      <c r="E15" s="14" t="s">
        <v>58</v>
      </c>
      <c r="F15" s="14" t="s">
        <v>105</v>
      </c>
      <c r="G15" s="14" t="s">
        <v>106</v>
      </c>
      <c r="H15" s="14" t="s">
        <v>107</v>
      </c>
      <c r="I15" s="14"/>
      <c r="J15" s="14"/>
      <c r="K15" s="14"/>
      <c r="L15" s="14" t="s">
        <v>8</v>
      </c>
    </row>
    <row r="16" customFormat="false" ht="15" hidden="false" customHeight="false" outlineLevel="0" collapsed="false">
      <c r="A16" s="14" t="s">
        <v>108</v>
      </c>
      <c r="B16" s="14" t="s">
        <v>10</v>
      </c>
      <c r="C16" s="14" t="s">
        <v>56</v>
      </c>
      <c r="D16" s="14" t="s">
        <v>57</v>
      </c>
      <c r="E16" s="14" t="s">
        <v>58</v>
      </c>
      <c r="F16" s="14" t="s">
        <v>109</v>
      </c>
      <c r="G16" s="14" t="s">
        <v>110</v>
      </c>
      <c r="H16" s="14" t="s">
        <v>111</v>
      </c>
      <c r="I16" s="14"/>
      <c r="J16" s="14"/>
      <c r="K16" s="14"/>
      <c r="L16" s="14" t="s">
        <v>8</v>
      </c>
    </row>
    <row r="17" customFormat="false" ht="15" hidden="false" customHeight="false" outlineLevel="0" collapsed="false">
      <c r="A17" s="14" t="s">
        <v>112</v>
      </c>
      <c r="B17" s="14" t="s">
        <v>10</v>
      </c>
      <c r="C17" s="14" t="s">
        <v>80</v>
      </c>
      <c r="D17" s="14" t="s">
        <v>57</v>
      </c>
      <c r="E17" s="14" t="s">
        <v>58</v>
      </c>
      <c r="F17" s="14" t="s">
        <v>113</v>
      </c>
      <c r="G17" s="14" t="s">
        <v>114</v>
      </c>
      <c r="H17" s="14" t="s">
        <v>115</v>
      </c>
      <c r="I17" s="14"/>
      <c r="J17" s="14"/>
      <c r="K17" s="14"/>
      <c r="L17" s="14" t="s">
        <v>8</v>
      </c>
    </row>
    <row r="18" customFormat="false" ht="46.25" hidden="false" customHeight="false" outlineLevel="0" collapsed="false">
      <c r="A18" s="14" t="s">
        <v>116</v>
      </c>
      <c r="B18" s="14" t="s">
        <v>10</v>
      </c>
      <c r="C18" s="14" t="s">
        <v>45</v>
      </c>
      <c r="D18" s="14" t="s">
        <v>46</v>
      </c>
      <c r="E18" s="14" t="s">
        <v>47</v>
      </c>
      <c r="F18" s="14" t="s">
        <v>117</v>
      </c>
      <c r="G18" s="14" t="s">
        <v>118</v>
      </c>
      <c r="H18" s="14" t="s">
        <v>119</v>
      </c>
      <c r="I18" s="14"/>
      <c r="J18" s="14"/>
      <c r="K18" s="14"/>
      <c r="L18" s="14" t="s">
        <v>8</v>
      </c>
    </row>
    <row r="19" customFormat="false" ht="23.85" hidden="false" customHeight="false" outlineLevel="0" collapsed="false">
      <c r="A19" s="14" t="s">
        <v>120</v>
      </c>
      <c r="B19" s="14" t="s">
        <v>10</v>
      </c>
      <c r="C19" s="14" t="s">
        <v>45</v>
      </c>
      <c r="D19" s="14" t="s">
        <v>63</v>
      </c>
      <c r="E19" s="14" t="s">
        <v>58</v>
      </c>
      <c r="F19" s="14" t="s">
        <v>121</v>
      </c>
      <c r="G19" s="14" t="s">
        <v>122</v>
      </c>
      <c r="H19" s="14" t="s">
        <v>123</v>
      </c>
      <c r="I19" s="14"/>
      <c r="J19" s="14"/>
      <c r="K19" s="14"/>
      <c r="L19" s="14" t="s">
        <v>8</v>
      </c>
    </row>
    <row r="20" customFormat="false" ht="35.05" hidden="false" customHeight="false" outlineLevel="0" collapsed="false">
      <c r="A20" s="14" t="s">
        <v>124</v>
      </c>
      <c r="B20" s="14" t="s">
        <v>10</v>
      </c>
      <c r="C20" s="14" t="s">
        <v>45</v>
      </c>
      <c r="D20" s="14" t="s">
        <v>46</v>
      </c>
      <c r="E20" s="14" t="s">
        <v>47</v>
      </c>
      <c r="F20" s="14" t="s">
        <v>125</v>
      </c>
      <c r="G20" s="14" t="s">
        <v>126</v>
      </c>
      <c r="H20" s="14" t="s">
        <v>127</v>
      </c>
      <c r="I20" s="14"/>
      <c r="J20" s="14"/>
      <c r="K20" s="14"/>
      <c r="L20" s="14" t="s">
        <v>8</v>
      </c>
    </row>
    <row r="21" customFormat="false" ht="15" hidden="false" customHeight="false" outlineLevel="0" collapsed="false">
      <c r="A21" s="14" t="s">
        <v>128</v>
      </c>
      <c r="B21" s="14" t="s">
        <v>10</v>
      </c>
      <c r="C21" s="14" t="s">
        <v>56</v>
      </c>
      <c r="D21" s="14" t="s">
        <v>57</v>
      </c>
      <c r="E21" s="14" t="s">
        <v>58</v>
      </c>
      <c r="F21" s="14" t="s">
        <v>129</v>
      </c>
      <c r="G21" s="14" t="s">
        <v>130</v>
      </c>
      <c r="H21" s="14" t="s">
        <v>131</v>
      </c>
      <c r="I21" s="14"/>
      <c r="J21" s="14"/>
      <c r="K21" s="14"/>
      <c r="L21" s="14" t="s">
        <v>8</v>
      </c>
    </row>
    <row r="22" customFormat="false" ht="15" hidden="false" customHeight="false" outlineLevel="0" collapsed="false">
      <c r="A22" s="14" t="s">
        <v>132</v>
      </c>
      <c r="B22" s="14" t="s">
        <v>10</v>
      </c>
      <c r="C22" s="14" t="s">
        <v>56</v>
      </c>
      <c r="D22" s="14" t="s">
        <v>57</v>
      </c>
      <c r="E22" s="14" t="s">
        <v>58</v>
      </c>
      <c r="F22" s="14" t="s">
        <v>133</v>
      </c>
      <c r="G22" s="14" t="s">
        <v>134</v>
      </c>
      <c r="H22" s="14" t="s">
        <v>135</v>
      </c>
      <c r="I22" s="14"/>
      <c r="J22" s="14"/>
      <c r="K22" s="14"/>
      <c r="L22" s="14" t="s">
        <v>8</v>
      </c>
    </row>
    <row r="23" customFormat="false" ht="23.85" hidden="false" customHeight="false" outlineLevel="0" collapsed="false">
      <c r="A23" s="14" t="s">
        <v>136</v>
      </c>
      <c r="B23" s="14" t="s">
        <v>10</v>
      </c>
      <c r="C23" s="14" t="s">
        <v>45</v>
      </c>
      <c r="D23" s="14" t="s">
        <v>46</v>
      </c>
      <c r="E23" s="14" t="s">
        <v>47</v>
      </c>
      <c r="F23" s="14" t="s">
        <v>137</v>
      </c>
      <c r="G23" s="14" t="s">
        <v>138</v>
      </c>
      <c r="H23" s="14" t="s">
        <v>139</v>
      </c>
      <c r="I23" s="14"/>
      <c r="J23" s="14"/>
      <c r="K23" s="14"/>
      <c r="L23" s="14" t="s">
        <v>8</v>
      </c>
    </row>
    <row r="24" customFormat="false" ht="23.85" hidden="false" customHeight="false" outlineLevel="0" collapsed="false">
      <c r="A24" s="14" t="s">
        <v>140</v>
      </c>
      <c r="B24" s="14" t="s">
        <v>10</v>
      </c>
      <c r="C24" s="14" t="s">
        <v>141</v>
      </c>
      <c r="D24" s="14" t="s">
        <v>46</v>
      </c>
      <c r="E24" s="14" t="s">
        <v>47</v>
      </c>
      <c r="F24" s="14" t="s">
        <v>142</v>
      </c>
      <c r="G24" s="14" t="s">
        <v>143</v>
      </c>
      <c r="H24" s="14" t="s">
        <v>144</v>
      </c>
      <c r="I24" s="14"/>
      <c r="J24" s="14"/>
      <c r="K24" s="14"/>
      <c r="L24" s="14" t="s">
        <v>8</v>
      </c>
    </row>
    <row r="25" customFormat="false" ht="15" hidden="false" customHeight="false" outlineLevel="0" collapsed="false">
      <c r="A25" s="14" t="s">
        <v>145</v>
      </c>
      <c r="B25" s="14" t="s">
        <v>10</v>
      </c>
      <c r="C25" s="14" t="s">
        <v>45</v>
      </c>
      <c r="D25" s="14" t="s">
        <v>63</v>
      </c>
      <c r="E25" s="14" t="s">
        <v>58</v>
      </c>
      <c r="F25" s="14" t="s">
        <v>146</v>
      </c>
      <c r="G25" s="14" t="s">
        <v>147</v>
      </c>
      <c r="H25" s="14" t="s">
        <v>148</v>
      </c>
      <c r="I25" s="14"/>
      <c r="J25" s="14"/>
      <c r="K25" s="14"/>
      <c r="L25" s="14" t="s">
        <v>8</v>
      </c>
    </row>
    <row r="26" customFormat="false" ht="15" hidden="false" customHeight="false" outlineLevel="0" collapsed="false">
      <c r="A26" s="14" t="s">
        <v>149</v>
      </c>
      <c r="B26" s="14" t="s">
        <v>11</v>
      </c>
      <c r="C26" s="14" t="s">
        <v>45</v>
      </c>
      <c r="D26" s="14" t="s">
        <v>46</v>
      </c>
      <c r="E26" s="14" t="s">
        <v>47</v>
      </c>
      <c r="F26" s="14" t="s">
        <v>150</v>
      </c>
      <c r="G26" s="14" t="s">
        <v>151</v>
      </c>
      <c r="H26" s="14" t="s">
        <v>152</v>
      </c>
      <c r="I26" s="14"/>
      <c r="J26" s="14"/>
      <c r="K26" s="14"/>
      <c r="L26" s="14" t="s">
        <v>8</v>
      </c>
    </row>
    <row r="27" customFormat="false" ht="15" hidden="false" customHeight="false" outlineLevel="0" collapsed="false">
      <c r="A27" s="14" t="s">
        <v>153</v>
      </c>
      <c r="B27" s="14" t="s">
        <v>11</v>
      </c>
      <c r="C27" s="14" t="s">
        <v>45</v>
      </c>
      <c r="D27" s="14" t="s">
        <v>63</v>
      </c>
      <c r="E27" s="14" t="s">
        <v>58</v>
      </c>
      <c r="F27" s="14" t="s">
        <v>154</v>
      </c>
      <c r="G27" s="14" t="s">
        <v>155</v>
      </c>
      <c r="H27" s="14" t="s">
        <v>152</v>
      </c>
      <c r="I27" s="14"/>
      <c r="J27" s="14"/>
      <c r="K27" s="14"/>
      <c r="L27" s="14" t="s">
        <v>8</v>
      </c>
    </row>
    <row r="28" customFormat="false" ht="15" hidden="false" customHeight="false" outlineLevel="0" collapsed="false">
      <c r="A28" s="14" t="s">
        <v>156</v>
      </c>
      <c r="B28" s="14" t="s">
        <v>11</v>
      </c>
      <c r="C28" s="14" t="s">
        <v>141</v>
      </c>
      <c r="D28" s="14" t="s">
        <v>46</v>
      </c>
      <c r="E28" s="14" t="s">
        <v>47</v>
      </c>
      <c r="F28" s="14" t="s">
        <v>157</v>
      </c>
      <c r="G28" s="14" t="s">
        <v>158</v>
      </c>
      <c r="H28" s="14" t="s">
        <v>159</v>
      </c>
      <c r="I28" s="14"/>
      <c r="J28" s="14"/>
      <c r="K28" s="14"/>
      <c r="L28" s="14" t="s">
        <v>8</v>
      </c>
    </row>
    <row r="29" customFormat="false" ht="15" hidden="false" customHeight="false" outlineLevel="0" collapsed="false">
      <c r="A29" s="14" t="s">
        <v>160</v>
      </c>
      <c r="B29" s="14" t="s">
        <v>11</v>
      </c>
      <c r="C29" s="14" t="s">
        <v>141</v>
      </c>
      <c r="D29" s="14" t="s">
        <v>46</v>
      </c>
      <c r="E29" s="14" t="s">
        <v>58</v>
      </c>
      <c r="F29" s="14" t="s">
        <v>161</v>
      </c>
      <c r="G29" s="14" t="s">
        <v>162</v>
      </c>
      <c r="H29" s="14" t="s">
        <v>163</v>
      </c>
      <c r="I29" s="14"/>
      <c r="J29" s="14"/>
      <c r="K29" s="14"/>
      <c r="L29" s="14" t="s">
        <v>8</v>
      </c>
    </row>
    <row r="30" customFormat="false" ht="15" hidden="false" customHeight="false" outlineLevel="0" collapsed="false">
      <c r="A30" s="14" t="s">
        <v>164</v>
      </c>
      <c r="B30" s="14" t="s">
        <v>11</v>
      </c>
      <c r="C30" s="14" t="s">
        <v>45</v>
      </c>
      <c r="D30" s="14" t="s">
        <v>63</v>
      </c>
      <c r="E30" s="14" t="s">
        <v>58</v>
      </c>
      <c r="F30" s="14" t="s">
        <v>165</v>
      </c>
      <c r="G30" s="14" t="s">
        <v>166</v>
      </c>
      <c r="H30" s="14" t="s">
        <v>167</v>
      </c>
      <c r="I30" s="14"/>
      <c r="J30" s="14"/>
      <c r="K30" s="14"/>
      <c r="L30" s="14" t="s">
        <v>8</v>
      </c>
    </row>
    <row r="31" customFormat="false" ht="15" hidden="false" customHeight="false" outlineLevel="0" collapsed="false">
      <c r="A31" s="14" t="s">
        <v>168</v>
      </c>
      <c r="B31" s="14" t="s">
        <v>11</v>
      </c>
      <c r="C31" s="14" t="s">
        <v>45</v>
      </c>
      <c r="D31" s="14" t="s">
        <v>63</v>
      </c>
      <c r="E31" s="14" t="s">
        <v>58</v>
      </c>
      <c r="F31" s="14" t="s">
        <v>169</v>
      </c>
      <c r="G31" s="14" t="s">
        <v>170</v>
      </c>
      <c r="H31" s="14" t="s">
        <v>171</v>
      </c>
      <c r="I31" s="14"/>
      <c r="J31" s="14"/>
      <c r="K31" s="14"/>
      <c r="L31" s="14" t="s">
        <v>8</v>
      </c>
    </row>
    <row r="32" customFormat="false" ht="15" hidden="false" customHeight="false" outlineLevel="0" collapsed="false">
      <c r="A32" s="14" t="s">
        <v>172</v>
      </c>
      <c r="B32" s="14" t="s">
        <v>11</v>
      </c>
      <c r="C32" s="14" t="s">
        <v>45</v>
      </c>
      <c r="D32" s="14" t="s">
        <v>57</v>
      </c>
      <c r="E32" s="14" t="s">
        <v>58</v>
      </c>
      <c r="F32" s="14" t="s">
        <v>173</v>
      </c>
      <c r="G32" s="14" t="s">
        <v>174</v>
      </c>
      <c r="H32" s="14" t="s">
        <v>175</v>
      </c>
      <c r="I32" s="14"/>
      <c r="J32" s="14"/>
      <c r="K32" s="14"/>
      <c r="L32" s="14" t="s">
        <v>8</v>
      </c>
    </row>
    <row r="33" customFormat="false" ht="15" hidden="false" customHeight="false" outlineLevel="0" collapsed="false">
      <c r="A33" s="14" t="s">
        <v>176</v>
      </c>
      <c r="B33" s="14" t="s">
        <v>11</v>
      </c>
      <c r="C33" s="14" t="s">
        <v>141</v>
      </c>
      <c r="D33" s="14" t="s">
        <v>46</v>
      </c>
      <c r="E33" s="14" t="s">
        <v>58</v>
      </c>
      <c r="F33" s="14" t="s">
        <v>177</v>
      </c>
      <c r="G33" s="14" t="s">
        <v>178</v>
      </c>
      <c r="H33" s="14" t="s">
        <v>179</v>
      </c>
      <c r="I33" s="14"/>
      <c r="J33" s="14"/>
      <c r="K33" s="14"/>
      <c r="L33" s="14" t="s">
        <v>8</v>
      </c>
    </row>
    <row r="34" customFormat="false" ht="15" hidden="false" customHeight="false" outlineLevel="0" collapsed="false">
      <c r="A34" s="14" t="s">
        <v>180</v>
      </c>
      <c r="B34" s="14" t="s">
        <v>11</v>
      </c>
      <c r="C34" s="14" t="s">
        <v>141</v>
      </c>
      <c r="D34" s="14" t="s">
        <v>46</v>
      </c>
      <c r="E34" s="14" t="s">
        <v>47</v>
      </c>
      <c r="F34" s="14" t="s">
        <v>181</v>
      </c>
      <c r="G34" s="14" t="s">
        <v>182</v>
      </c>
      <c r="H34" s="14" t="s">
        <v>183</v>
      </c>
      <c r="I34" s="14"/>
      <c r="J34" s="14"/>
      <c r="K34" s="14"/>
      <c r="L34" s="14" t="s">
        <v>8</v>
      </c>
    </row>
    <row r="35" customFormat="false" ht="15" hidden="false" customHeight="false" outlineLevel="0" collapsed="false">
      <c r="A35" s="14" t="s">
        <v>184</v>
      </c>
      <c r="B35" s="14" t="s">
        <v>11</v>
      </c>
      <c r="C35" s="14" t="s">
        <v>45</v>
      </c>
      <c r="D35" s="14" t="s">
        <v>63</v>
      </c>
      <c r="E35" s="14" t="s">
        <v>58</v>
      </c>
      <c r="F35" s="14" t="s">
        <v>185</v>
      </c>
      <c r="G35" s="14" t="s">
        <v>186</v>
      </c>
      <c r="H35" s="14" t="s">
        <v>187</v>
      </c>
      <c r="I35" s="14"/>
      <c r="J35" s="14"/>
      <c r="K35" s="14"/>
      <c r="L35" s="14" t="s">
        <v>8</v>
      </c>
    </row>
    <row r="36" customFormat="false" ht="23.85" hidden="false" customHeight="false" outlineLevel="0" collapsed="false">
      <c r="A36" s="14" t="s">
        <v>188</v>
      </c>
      <c r="B36" s="14" t="s">
        <v>11</v>
      </c>
      <c r="C36" s="14" t="s">
        <v>141</v>
      </c>
      <c r="D36" s="14" t="s">
        <v>46</v>
      </c>
      <c r="E36" s="14" t="s">
        <v>47</v>
      </c>
      <c r="F36" s="14" t="s">
        <v>189</v>
      </c>
      <c r="G36" s="14" t="s">
        <v>190</v>
      </c>
      <c r="H36" s="14" t="s">
        <v>191</v>
      </c>
      <c r="I36" s="14"/>
      <c r="J36" s="14"/>
      <c r="K36" s="14"/>
      <c r="L36" s="14" t="s">
        <v>8</v>
      </c>
    </row>
    <row r="37" customFormat="false" ht="23.85" hidden="false" customHeight="false" outlineLevel="0" collapsed="false">
      <c r="A37" s="14" t="s">
        <v>192</v>
      </c>
      <c r="B37" s="14" t="s">
        <v>12</v>
      </c>
      <c r="C37" s="14" t="s">
        <v>45</v>
      </c>
      <c r="D37" s="14" t="s">
        <v>63</v>
      </c>
      <c r="E37" s="14" t="s">
        <v>58</v>
      </c>
      <c r="F37" s="14" t="s">
        <v>193</v>
      </c>
      <c r="G37" s="14" t="s">
        <v>194</v>
      </c>
      <c r="H37" s="14" t="s">
        <v>195</v>
      </c>
      <c r="I37" s="14"/>
      <c r="J37" s="14"/>
      <c r="K37" s="14"/>
      <c r="L37" s="14" t="s">
        <v>8</v>
      </c>
    </row>
    <row r="38" customFormat="false" ht="23.85" hidden="false" customHeight="false" outlineLevel="0" collapsed="false">
      <c r="A38" s="14" t="s">
        <v>196</v>
      </c>
      <c r="B38" s="14" t="s">
        <v>12</v>
      </c>
      <c r="C38" s="14" t="s">
        <v>45</v>
      </c>
      <c r="D38" s="14" t="s">
        <v>46</v>
      </c>
      <c r="E38" s="14" t="s">
        <v>47</v>
      </c>
      <c r="F38" s="14" t="s">
        <v>197</v>
      </c>
      <c r="G38" s="14" t="s">
        <v>198</v>
      </c>
      <c r="H38" s="14" t="s">
        <v>199</v>
      </c>
      <c r="I38" s="14"/>
      <c r="J38" s="14"/>
      <c r="K38" s="14"/>
      <c r="L38" s="14" t="s">
        <v>8</v>
      </c>
    </row>
    <row r="39" customFormat="false" ht="15" hidden="false" customHeight="false" outlineLevel="0" collapsed="false">
      <c r="A39" s="14" t="s">
        <v>200</v>
      </c>
      <c r="B39" s="14" t="s">
        <v>12</v>
      </c>
      <c r="C39" s="14" t="s">
        <v>45</v>
      </c>
      <c r="D39" s="14" t="s">
        <v>57</v>
      </c>
      <c r="E39" s="14" t="s">
        <v>58</v>
      </c>
      <c r="F39" s="14" t="s">
        <v>201</v>
      </c>
      <c r="G39" s="14" t="s">
        <v>202</v>
      </c>
      <c r="H39" s="14" t="s">
        <v>203</v>
      </c>
      <c r="I39" s="14"/>
      <c r="J39" s="14"/>
      <c r="K39" s="14"/>
      <c r="L39" s="14" t="s">
        <v>8</v>
      </c>
    </row>
    <row r="40" customFormat="false" ht="15" hidden="false" customHeight="false" outlineLevel="0" collapsed="false">
      <c r="A40" s="14" t="s">
        <v>204</v>
      </c>
      <c r="B40" s="14" t="s">
        <v>12</v>
      </c>
      <c r="C40" s="14" t="s">
        <v>56</v>
      </c>
      <c r="D40" s="14" t="s">
        <v>57</v>
      </c>
      <c r="E40" s="14" t="s">
        <v>58</v>
      </c>
      <c r="F40" s="14" t="s">
        <v>205</v>
      </c>
      <c r="G40" s="14" t="s">
        <v>206</v>
      </c>
      <c r="H40" s="14" t="s">
        <v>207</v>
      </c>
      <c r="I40" s="14"/>
      <c r="J40" s="14"/>
      <c r="K40" s="14"/>
      <c r="L40" s="14" t="s">
        <v>8</v>
      </c>
    </row>
    <row r="41" customFormat="false" ht="23.85" hidden="false" customHeight="false" outlineLevel="0" collapsed="false">
      <c r="A41" s="14" t="s">
        <v>208</v>
      </c>
      <c r="B41" s="14" t="s">
        <v>12</v>
      </c>
      <c r="C41" s="14" t="s">
        <v>45</v>
      </c>
      <c r="D41" s="14" t="s">
        <v>63</v>
      </c>
      <c r="E41" s="14" t="s">
        <v>58</v>
      </c>
      <c r="F41" s="14" t="s">
        <v>209</v>
      </c>
      <c r="G41" s="14" t="s">
        <v>210</v>
      </c>
      <c r="H41" s="14" t="s">
        <v>211</v>
      </c>
      <c r="I41" s="14"/>
      <c r="J41" s="14"/>
      <c r="K41" s="14"/>
      <c r="L41" s="14" t="s">
        <v>8</v>
      </c>
    </row>
    <row r="42" customFormat="false" ht="15" hidden="false" customHeight="false" outlineLevel="0" collapsed="false">
      <c r="A42" s="14" t="s">
        <v>212</v>
      </c>
      <c r="B42" s="14" t="s">
        <v>12</v>
      </c>
      <c r="C42" s="14" t="s">
        <v>45</v>
      </c>
      <c r="D42" s="14" t="s">
        <v>63</v>
      </c>
      <c r="E42" s="14" t="s">
        <v>58</v>
      </c>
      <c r="F42" s="14" t="s">
        <v>213</v>
      </c>
      <c r="G42" s="14" t="s">
        <v>214</v>
      </c>
      <c r="H42" s="14" t="s">
        <v>215</v>
      </c>
      <c r="I42" s="14"/>
      <c r="J42" s="14"/>
      <c r="K42" s="14"/>
      <c r="L42" s="14" t="s">
        <v>8</v>
      </c>
    </row>
    <row r="43" customFormat="false" ht="23.85" hidden="false" customHeight="false" outlineLevel="0" collapsed="false">
      <c r="A43" s="14" t="s">
        <v>216</v>
      </c>
      <c r="B43" s="14" t="s">
        <v>13</v>
      </c>
      <c r="C43" s="14" t="s">
        <v>45</v>
      </c>
      <c r="D43" s="14" t="s">
        <v>46</v>
      </c>
      <c r="E43" s="14" t="s">
        <v>47</v>
      </c>
      <c r="F43" s="14" t="s">
        <v>217</v>
      </c>
      <c r="G43" s="14" t="s">
        <v>218</v>
      </c>
      <c r="H43" s="14" t="s">
        <v>219</v>
      </c>
      <c r="I43" s="14"/>
      <c r="J43" s="14"/>
      <c r="K43" s="14"/>
      <c r="L43" s="14" t="s">
        <v>8</v>
      </c>
    </row>
    <row r="44" customFormat="false" ht="23.85" hidden="false" customHeight="false" outlineLevel="0" collapsed="false">
      <c r="A44" s="14" t="s">
        <v>220</v>
      </c>
      <c r="B44" s="14" t="s">
        <v>13</v>
      </c>
      <c r="C44" s="14" t="s">
        <v>45</v>
      </c>
      <c r="D44" s="14" t="s">
        <v>46</v>
      </c>
      <c r="E44" s="14" t="s">
        <v>47</v>
      </c>
      <c r="F44" s="14" t="s">
        <v>221</v>
      </c>
      <c r="G44" s="14" t="s">
        <v>222</v>
      </c>
      <c r="H44" s="14" t="s">
        <v>223</v>
      </c>
      <c r="I44" s="14"/>
      <c r="J44" s="14"/>
      <c r="K44" s="14"/>
      <c r="L44" s="14" t="s">
        <v>8</v>
      </c>
    </row>
    <row r="45" customFormat="false" ht="15" hidden="false" customHeight="false" outlineLevel="0" collapsed="false">
      <c r="A45" s="14" t="s">
        <v>224</v>
      </c>
      <c r="B45" s="14" t="s">
        <v>13</v>
      </c>
      <c r="C45" s="14" t="s">
        <v>45</v>
      </c>
      <c r="D45" s="14" t="s">
        <v>46</v>
      </c>
      <c r="E45" s="14" t="s">
        <v>47</v>
      </c>
      <c r="F45" s="14" t="s">
        <v>225</v>
      </c>
      <c r="G45" s="14" t="s">
        <v>226</v>
      </c>
      <c r="H45" s="14" t="s">
        <v>227</v>
      </c>
      <c r="I45" s="14"/>
      <c r="J45" s="14"/>
      <c r="K45" s="14"/>
      <c r="L45" s="14" t="s">
        <v>8</v>
      </c>
    </row>
    <row r="46" customFormat="false" ht="23.85" hidden="false" customHeight="false" outlineLevel="0" collapsed="false">
      <c r="A46" s="14" t="s">
        <v>228</v>
      </c>
      <c r="B46" s="14" t="s">
        <v>13</v>
      </c>
      <c r="C46" s="14" t="s">
        <v>45</v>
      </c>
      <c r="D46" s="14" t="s">
        <v>46</v>
      </c>
      <c r="E46" s="14" t="s">
        <v>47</v>
      </c>
      <c r="F46" s="14" t="s">
        <v>229</v>
      </c>
      <c r="G46" s="14" t="s">
        <v>230</v>
      </c>
      <c r="H46" s="14" t="s">
        <v>231</v>
      </c>
      <c r="I46" s="14"/>
      <c r="J46" s="14"/>
      <c r="K46" s="14"/>
      <c r="L46" s="14" t="s">
        <v>8</v>
      </c>
    </row>
    <row r="47" customFormat="false" ht="23.85" hidden="false" customHeight="false" outlineLevel="0" collapsed="false">
      <c r="A47" s="14" t="s">
        <v>232</v>
      </c>
      <c r="B47" s="14" t="s">
        <v>13</v>
      </c>
      <c r="C47" s="14" t="s">
        <v>45</v>
      </c>
      <c r="D47" s="14" t="s">
        <v>46</v>
      </c>
      <c r="E47" s="14" t="s">
        <v>47</v>
      </c>
      <c r="F47" s="14" t="s">
        <v>233</v>
      </c>
      <c r="G47" s="14" t="s">
        <v>234</v>
      </c>
      <c r="H47" s="14" t="s">
        <v>235</v>
      </c>
      <c r="I47" s="14"/>
      <c r="J47" s="14"/>
      <c r="K47" s="14"/>
      <c r="L47" s="14" t="s">
        <v>8</v>
      </c>
    </row>
    <row r="48" customFormat="false" ht="15" hidden="false" customHeight="false" outlineLevel="0" collapsed="false">
      <c r="A48" s="14" t="s">
        <v>236</v>
      </c>
      <c r="B48" s="14" t="s">
        <v>13</v>
      </c>
      <c r="C48" s="14" t="s">
        <v>45</v>
      </c>
      <c r="D48" s="14" t="s">
        <v>63</v>
      </c>
      <c r="E48" s="14" t="s">
        <v>58</v>
      </c>
      <c r="F48" s="14" t="s">
        <v>237</v>
      </c>
      <c r="G48" s="14" t="s">
        <v>238</v>
      </c>
      <c r="H48" s="14" t="s">
        <v>239</v>
      </c>
      <c r="I48" s="14"/>
      <c r="J48" s="14"/>
      <c r="K48" s="14"/>
      <c r="L48" s="14" t="s">
        <v>8</v>
      </c>
    </row>
    <row r="49" customFormat="false" ht="15" hidden="false" customHeight="false" outlineLevel="0" collapsed="false">
      <c r="A49" s="14" t="s">
        <v>240</v>
      </c>
      <c r="B49" s="14" t="s">
        <v>13</v>
      </c>
      <c r="C49" s="14" t="s">
        <v>45</v>
      </c>
      <c r="D49" s="14" t="s">
        <v>63</v>
      </c>
      <c r="E49" s="14" t="s">
        <v>58</v>
      </c>
      <c r="F49" s="14" t="s">
        <v>241</v>
      </c>
      <c r="G49" s="14" t="s">
        <v>242</v>
      </c>
      <c r="H49" s="14" t="s">
        <v>243</v>
      </c>
      <c r="I49" s="14"/>
      <c r="J49" s="14"/>
      <c r="K49" s="14"/>
      <c r="L49" s="14" t="s">
        <v>8</v>
      </c>
    </row>
    <row r="50" customFormat="false" ht="15" hidden="false" customHeight="false" outlineLevel="0" collapsed="false">
      <c r="A50" s="14" t="s">
        <v>244</v>
      </c>
      <c r="B50" s="14" t="s">
        <v>13</v>
      </c>
      <c r="C50" s="14" t="s">
        <v>45</v>
      </c>
      <c r="D50" s="14" t="s">
        <v>63</v>
      </c>
      <c r="E50" s="14" t="s">
        <v>58</v>
      </c>
      <c r="F50" s="14" t="s">
        <v>245</v>
      </c>
      <c r="G50" s="14" t="s">
        <v>246</v>
      </c>
      <c r="H50" s="14" t="s">
        <v>247</v>
      </c>
      <c r="I50" s="14"/>
      <c r="J50" s="14"/>
      <c r="K50" s="14"/>
      <c r="L50" s="14" t="s">
        <v>8</v>
      </c>
    </row>
    <row r="51" customFormat="false" ht="15" hidden="false" customHeight="false" outlineLevel="0" collapsed="false">
      <c r="A51" s="14" t="s">
        <v>248</v>
      </c>
      <c r="B51" s="14" t="s">
        <v>13</v>
      </c>
      <c r="C51" s="14" t="s">
        <v>45</v>
      </c>
      <c r="D51" s="14" t="s">
        <v>63</v>
      </c>
      <c r="E51" s="14" t="s">
        <v>58</v>
      </c>
      <c r="F51" s="14" t="s">
        <v>249</v>
      </c>
      <c r="G51" s="14" t="s">
        <v>250</v>
      </c>
      <c r="H51" s="14" t="s">
        <v>251</v>
      </c>
      <c r="I51" s="14"/>
      <c r="J51" s="14"/>
      <c r="K51" s="14"/>
      <c r="L51" s="14" t="s">
        <v>8</v>
      </c>
    </row>
    <row r="52" customFormat="false" ht="15" hidden="false" customHeight="false" outlineLevel="0" collapsed="false">
      <c r="A52" s="14" t="s">
        <v>252</v>
      </c>
      <c r="B52" s="14" t="s">
        <v>13</v>
      </c>
      <c r="C52" s="14" t="s">
        <v>45</v>
      </c>
      <c r="D52" s="14" t="s">
        <v>57</v>
      </c>
      <c r="E52" s="14" t="s">
        <v>58</v>
      </c>
      <c r="F52" s="14" t="s">
        <v>253</v>
      </c>
      <c r="G52" s="14" t="s">
        <v>254</v>
      </c>
      <c r="H52" s="14" t="s">
        <v>255</v>
      </c>
      <c r="I52" s="14"/>
      <c r="J52" s="14"/>
      <c r="K52" s="14"/>
      <c r="L52" s="14" t="s">
        <v>8</v>
      </c>
    </row>
    <row r="53" customFormat="false" ht="23.85" hidden="false" customHeight="false" outlineLevel="0" collapsed="false">
      <c r="A53" s="14" t="s">
        <v>256</v>
      </c>
      <c r="B53" s="14" t="s">
        <v>14</v>
      </c>
      <c r="C53" s="14" t="s">
        <v>45</v>
      </c>
      <c r="D53" s="14" t="s">
        <v>46</v>
      </c>
      <c r="E53" s="14" t="s">
        <v>47</v>
      </c>
      <c r="F53" s="14" t="s">
        <v>257</v>
      </c>
      <c r="G53" s="14" t="s">
        <v>258</v>
      </c>
      <c r="H53" s="14" t="s">
        <v>259</v>
      </c>
      <c r="I53" s="14"/>
      <c r="J53" s="14"/>
      <c r="K53" s="14"/>
      <c r="L53" s="14" t="s">
        <v>8</v>
      </c>
    </row>
    <row r="54" customFormat="false" ht="15" hidden="false" customHeight="false" outlineLevel="0" collapsed="false">
      <c r="A54" s="14" t="s">
        <v>260</v>
      </c>
      <c r="B54" s="14" t="s">
        <v>14</v>
      </c>
      <c r="C54" s="14" t="s">
        <v>80</v>
      </c>
      <c r="D54" s="14" t="s">
        <v>46</v>
      </c>
      <c r="E54" s="14" t="s">
        <v>58</v>
      </c>
      <c r="F54" s="14" t="s">
        <v>261</v>
      </c>
      <c r="G54" s="14" t="s">
        <v>262</v>
      </c>
      <c r="H54" s="14" t="s">
        <v>263</v>
      </c>
      <c r="I54" s="14"/>
      <c r="J54" s="14"/>
      <c r="K54" s="14"/>
      <c r="L54" s="14" t="s">
        <v>8</v>
      </c>
    </row>
    <row r="55" customFormat="false" ht="15" hidden="false" customHeight="false" outlineLevel="0" collapsed="false">
      <c r="A55" s="14" t="s">
        <v>264</v>
      </c>
      <c r="B55" s="14" t="s">
        <v>14</v>
      </c>
      <c r="C55" s="14" t="s">
        <v>80</v>
      </c>
      <c r="D55" s="14" t="s">
        <v>63</v>
      </c>
      <c r="E55" s="14" t="s">
        <v>58</v>
      </c>
      <c r="F55" s="14" t="s">
        <v>265</v>
      </c>
      <c r="G55" s="14" t="s">
        <v>266</v>
      </c>
      <c r="H55" s="14" t="s">
        <v>267</v>
      </c>
      <c r="I55" s="14"/>
      <c r="J55" s="14"/>
      <c r="K55" s="14"/>
      <c r="L55" s="14" t="s">
        <v>8</v>
      </c>
    </row>
    <row r="56" customFormat="false" ht="15" hidden="false" customHeight="false" outlineLevel="0" collapsed="false">
      <c r="A56" s="14" t="s">
        <v>268</v>
      </c>
      <c r="B56" s="14" t="s">
        <v>14</v>
      </c>
      <c r="C56" s="14" t="s">
        <v>80</v>
      </c>
      <c r="D56" s="14" t="s">
        <v>63</v>
      </c>
      <c r="E56" s="14" t="s">
        <v>58</v>
      </c>
      <c r="F56" s="14" t="s">
        <v>269</v>
      </c>
      <c r="G56" s="14" t="s">
        <v>270</v>
      </c>
      <c r="H56" s="14" t="s">
        <v>271</v>
      </c>
      <c r="I56" s="14"/>
      <c r="J56" s="14"/>
      <c r="K56" s="14"/>
      <c r="L56" s="14" t="s">
        <v>8</v>
      </c>
    </row>
    <row r="57" customFormat="false" ht="15" hidden="false" customHeight="false" outlineLevel="0" collapsed="false">
      <c r="A57" s="14" t="s">
        <v>272</v>
      </c>
      <c r="B57" s="14" t="s">
        <v>14</v>
      </c>
      <c r="C57" s="14" t="s">
        <v>45</v>
      </c>
      <c r="D57" s="14" t="s">
        <v>46</v>
      </c>
      <c r="E57" s="14" t="s">
        <v>47</v>
      </c>
      <c r="F57" s="14" t="s">
        <v>273</v>
      </c>
      <c r="G57" s="14" t="s">
        <v>274</v>
      </c>
      <c r="H57" s="14" t="s">
        <v>275</v>
      </c>
      <c r="I57" s="14"/>
      <c r="J57" s="14"/>
      <c r="K57" s="14"/>
      <c r="L57" s="14" t="s">
        <v>8</v>
      </c>
    </row>
    <row r="58" customFormat="false" ht="15" hidden="false" customHeight="false" outlineLevel="0" collapsed="false">
      <c r="A58" s="14" t="s">
        <v>276</v>
      </c>
      <c r="B58" s="14" t="s">
        <v>14</v>
      </c>
      <c r="C58" s="14" t="s">
        <v>56</v>
      </c>
      <c r="D58" s="14" t="s">
        <v>63</v>
      </c>
      <c r="E58" s="14" t="s">
        <v>58</v>
      </c>
      <c r="F58" s="14" t="s">
        <v>277</v>
      </c>
      <c r="G58" s="14" t="s">
        <v>278</v>
      </c>
      <c r="H58" s="14" t="s">
        <v>279</v>
      </c>
      <c r="I58" s="14"/>
      <c r="J58" s="14"/>
      <c r="K58" s="14"/>
      <c r="L58" s="14" t="s">
        <v>8</v>
      </c>
    </row>
    <row r="59" customFormat="false" ht="15" hidden="false" customHeight="false" outlineLevel="0" collapsed="false">
      <c r="A59" s="14" t="s">
        <v>280</v>
      </c>
      <c r="B59" s="14" t="s">
        <v>14</v>
      </c>
      <c r="C59" s="14" t="s">
        <v>80</v>
      </c>
      <c r="D59" s="14" t="s">
        <v>57</v>
      </c>
      <c r="E59" s="14" t="s">
        <v>58</v>
      </c>
      <c r="F59" s="14" t="s">
        <v>281</v>
      </c>
      <c r="G59" s="14" t="s">
        <v>282</v>
      </c>
      <c r="H59" s="14" t="s">
        <v>283</v>
      </c>
      <c r="I59" s="14"/>
      <c r="J59" s="14"/>
      <c r="K59" s="14"/>
      <c r="L59" s="14" t="s">
        <v>8</v>
      </c>
    </row>
    <row r="60" customFormat="false" ht="15" hidden="false" customHeight="false" outlineLevel="0" collapsed="false">
      <c r="A60" s="14" t="s">
        <v>284</v>
      </c>
      <c r="B60" s="14" t="s">
        <v>14</v>
      </c>
      <c r="C60" s="14" t="s">
        <v>80</v>
      </c>
      <c r="D60" s="14" t="s">
        <v>57</v>
      </c>
      <c r="E60" s="14" t="s">
        <v>58</v>
      </c>
      <c r="F60" s="14" t="s">
        <v>285</v>
      </c>
      <c r="G60" s="14" t="s">
        <v>286</v>
      </c>
      <c r="H60" s="14" t="s">
        <v>287</v>
      </c>
      <c r="I60" s="14"/>
      <c r="J60" s="14"/>
      <c r="K60" s="14"/>
      <c r="L60" s="14" t="s">
        <v>8</v>
      </c>
    </row>
    <row r="61" customFormat="false" ht="23.85" hidden="false" customHeight="false" outlineLevel="0" collapsed="false">
      <c r="A61" s="14" t="s">
        <v>288</v>
      </c>
      <c r="B61" s="14" t="s">
        <v>14</v>
      </c>
      <c r="C61" s="14" t="s">
        <v>45</v>
      </c>
      <c r="D61" s="14" t="s">
        <v>46</v>
      </c>
      <c r="E61" s="14" t="s">
        <v>47</v>
      </c>
      <c r="F61" s="14" t="s">
        <v>289</v>
      </c>
      <c r="G61" s="14" t="s">
        <v>290</v>
      </c>
      <c r="H61" s="14" t="s">
        <v>291</v>
      </c>
      <c r="I61" s="14"/>
      <c r="J61" s="14"/>
      <c r="K61" s="14"/>
      <c r="L61" s="14" t="s">
        <v>8</v>
      </c>
    </row>
    <row r="62" customFormat="false" ht="15" hidden="false" customHeight="false" outlineLevel="0" collapsed="false">
      <c r="A62" s="14" t="s">
        <v>292</v>
      </c>
      <c r="B62" s="14" t="s">
        <v>14</v>
      </c>
      <c r="C62" s="14" t="s">
        <v>45</v>
      </c>
      <c r="D62" s="14" t="s">
        <v>63</v>
      </c>
      <c r="E62" s="14" t="s">
        <v>58</v>
      </c>
      <c r="F62" s="14" t="s">
        <v>293</v>
      </c>
      <c r="G62" s="14" t="s">
        <v>294</v>
      </c>
      <c r="H62" s="14" t="s">
        <v>295</v>
      </c>
      <c r="I62" s="14"/>
      <c r="J62" s="14"/>
      <c r="K62" s="14"/>
      <c r="L62" s="14" t="s">
        <v>8</v>
      </c>
    </row>
    <row r="63" customFormat="false" ht="15" hidden="false" customHeight="false" outlineLevel="0" collapsed="false">
      <c r="A63" s="14" t="s">
        <v>296</v>
      </c>
      <c r="B63" s="14" t="s">
        <v>14</v>
      </c>
      <c r="C63" s="14" t="s">
        <v>56</v>
      </c>
      <c r="D63" s="14" t="s">
        <v>46</v>
      </c>
      <c r="E63" s="14" t="s">
        <v>47</v>
      </c>
      <c r="F63" s="14" t="s">
        <v>297</v>
      </c>
      <c r="G63" s="14" t="s">
        <v>298</v>
      </c>
      <c r="H63" s="14" t="s">
        <v>299</v>
      </c>
      <c r="I63" s="14"/>
      <c r="J63" s="14"/>
      <c r="K63" s="14"/>
      <c r="L63" s="14" t="s">
        <v>8</v>
      </c>
    </row>
    <row r="64" customFormat="false" ht="15" hidden="false" customHeight="false" outlineLevel="0" collapsed="false">
      <c r="A64" s="14" t="s">
        <v>300</v>
      </c>
      <c r="B64" s="14" t="s">
        <v>14</v>
      </c>
      <c r="C64" s="14" t="s">
        <v>56</v>
      </c>
      <c r="D64" s="14" t="s">
        <v>63</v>
      </c>
      <c r="E64" s="14" t="s">
        <v>58</v>
      </c>
      <c r="F64" s="14" t="s">
        <v>301</v>
      </c>
      <c r="G64" s="14" t="s">
        <v>302</v>
      </c>
      <c r="H64" s="14" t="s">
        <v>303</v>
      </c>
      <c r="I64" s="14"/>
      <c r="J64" s="14"/>
      <c r="K64" s="14"/>
      <c r="L64" s="14" t="s">
        <v>8</v>
      </c>
    </row>
    <row r="65" customFormat="false" ht="15" hidden="false" customHeight="false" outlineLevel="0" collapsed="false">
      <c r="A65" s="14" t="s">
        <v>304</v>
      </c>
      <c r="B65" s="14" t="s">
        <v>14</v>
      </c>
      <c r="C65" s="14" t="s">
        <v>80</v>
      </c>
      <c r="D65" s="14" t="s">
        <v>57</v>
      </c>
      <c r="E65" s="14" t="s">
        <v>58</v>
      </c>
      <c r="F65" s="14" t="s">
        <v>305</v>
      </c>
      <c r="G65" s="14" t="s">
        <v>306</v>
      </c>
      <c r="H65" s="14" t="s">
        <v>307</v>
      </c>
      <c r="I65" s="14"/>
      <c r="J65" s="14"/>
      <c r="K65" s="14"/>
      <c r="L65" s="14" t="s">
        <v>8</v>
      </c>
    </row>
    <row r="66" customFormat="false" ht="15" hidden="false" customHeight="false" outlineLevel="0" collapsed="false">
      <c r="A66" s="14" t="s">
        <v>308</v>
      </c>
      <c r="B66" s="14" t="s">
        <v>14</v>
      </c>
      <c r="C66" s="14" t="s">
        <v>56</v>
      </c>
      <c r="D66" s="14" t="s">
        <v>46</v>
      </c>
      <c r="E66" s="14" t="s">
        <v>47</v>
      </c>
      <c r="F66" s="14" t="s">
        <v>309</v>
      </c>
      <c r="G66" s="14" t="s">
        <v>310</v>
      </c>
      <c r="H66" s="14" t="s">
        <v>311</v>
      </c>
      <c r="I66" s="14"/>
      <c r="J66" s="14"/>
      <c r="K66" s="14"/>
      <c r="L66" s="14" t="s">
        <v>8</v>
      </c>
    </row>
    <row r="67" customFormat="false" ht="15" hidden="false" customHeight="false" outlineLevel="0" collapsed="false">
      <c r="A67" s="14" t="s">
        <v>312</v>
      </c>
      <c r="B67" s="14" t="s">
        <v>14</v>
      </c>
      <c r="C67" s="14" t="s">
        <v>45</v>
      </c>
      <c r="D67" s="14" t="s">
        <v>57</v>
      </c>
      <c r="E67" s="14" t="s">
        <v>58</v>
      </c>
      <c r="F67" s="14" t="s">
        <v>313</v>
      </c>
      <c r="G67" s="14" t="s">
        <v>314</v>
      </c>
      <c r="H67" s="14" t="s">
        <v>315</v>
      </c>
      <c r="I67" s="14"/>
      <c r="J67" s="14"/>
      <c r="K67" s="14"/>
      <c r="L67" s="14" t="s">
        <v>8</v>
      </c>
    </row>
    <row r="68" customFormat="false" ht="15" hidden="false" customHeight="false" outlineLevel="0" collapsed="false">
      <c r="A68" s="14" t="s">
        <v>316</v>
      </c>
      <c r="B68" s="14" t="s">
        <v>14</v>
      </c>
      <c r="C68" s="14" t="s">
        <v>56</v>
      </c>
      <c r="D68" s="14" t="s">
        <v>46</v>
      </c>
      <c r="E68" s="14" t="s">
        <v>47</v>
      </c>
      <c r="F68" s="14" t="s">
        <v>317</v>
      </c>
      <c r="G68" s="14" t="s">
        <v>318</v>
      </c>
      <c r="H68" s="14" t="s">
        <v>207</v>
      </c>
      <c r="I68" s="14"/>
      <c r="J68" s="14"/>
      <c r="K68" s="14"/>
      <c r="L68" s="14" t="s">
        <v>8</v>
      </c>
    </row>
    <row r="69" customFormat="false" ht="15" hidden="false" customHeight="false" outlineLevel="0" collapsed="false">
      <c r="A69" s="14" t="s">
        <v>319</v>
      </c>
      <c r="B69" s="14" t="s">
        <v>14</v>
      </c>
      <c r="C69" s="14" t="s">
        <v>56</v>
      </c>
      <c r="D69" s="14" t="s">
        <v>46</v>
      </c>
      <c r="E69" s="14" t="s">
        <v>47</v>
      </c>
      <c r="F69" s="14" t="s">
        <v>320</v>
      </c>
      <c r="G69" s="14" t="s">
        <v>321</v>
      </c>
      <c r="H69" s="14" t="s">
        <v>322</v>
      </c>
      <c r="I69" s="14"/>
      <c r="J69" s="14"/>
      <c r="K69" s="14"/>
      <c r="L69" s="14" t="s">
        <v>8</v>
      </c>
    </row>
    <row r="70" customFormat="false" ht="15" hidden="false" customHeight="false" outlineLevel="0" collapsed="false">
      <c r="A70" s="14" t="s">
        <v>323</v>
      </c>
      <c r="B70" s="14" t="s">
        <v>14</v>
      </c>
      <c r="C70" s="14" t="s">
        <v>45</v>
      </c>
      <c r="D70" s="14" t="s">
        <v>63</v>
      </c>
      <c r="E70" s="14" t="s">
        <v>58</v>
      </c>
      <c r="F70" s="14" t="s">
        <v>324</v>
      </c>
      <c r="G70" s="14" t="s">
        <v>325</v>
      </c>
      <c r="H70" s="14" t="s">
        <v>326</v>
      </c>
      <c r="I70" s="14"/>
      <c r="J70" s="14"/>
      <c r="K70" s="14"/>
      <c r="L70" s="14" t="s">
        <v>8</v>
      </c>
    </row>
    <row r="71" customFormat="false" ht="15" hidden="false" customHeight="false" outlineLevel="0" collapsed="false">
      <c r="A71" s="14" t="s">
        <v>327</v>
      </c>
      <c r="B71" s="14" t="s">
        <v>14</v>
      </c>
      <c r="C71" s="14" t="s">
        <v>45</v>
      </c>
      <c r="D71" s="14" t="s">
        <v>57</v>
      </c>
      <c r="E71" s="14" t="s">
        <v>58</v>
      </c>
      <c r="F71" s="14" t="s">
        <v>328</v>
      </c>
      <c r="G71" s="14" t="s">
        <v>329</v>
      </c>
      <c r="H71" s="14" t="s">
        <v>330</v>
      </c>
      <c r="I71" s="14"/>
      <c r="J71" s="14"/>
      <c r="K71" s="14"/>
      <c r="L71" s="14" t="s">
        <v>8</v>
      </c>
    </row>
    <row r="72" customFormat="false" ht="23.85" hidden="false" customHeight="false" outlineLevel="0" collapsed="false">
      <c r="A72" s="14" t="s">
        <v>331</v>
      </c>
      <c r="B72" s="14" t="s">
        <v>14</v>
      </c>
      <c r="C72" s="14" t="s">
        <v>45</v>
      </c>
      <c r="D72" s="14" t="s">
        <v>46</v>
      </c>
      <c r="E72" s="14" t="s">
        <v>47</v>
      </c>
      <c r="F72" s="14" t="s">
        <v>332</v>
      </c>
      <c r="G72" s="14" t="s">
        <v>333</v>
      </c>
      <c r="H72" s="14" t="s">
        <v>334</v>
      </c>
      <c r="I72" s="14"/>
      <c r="J72" s="14"/>
      <c r="K72" s="14"/>
      <c r="L72" s="14" t="s">
        <v>8</v>
      </c>
    </row>
    <row r="73" customFormat="false" ht="15" hidden="false" customHeight="false" outlineLevel="0" collapsed="false">
      <c r="A73" s="14" t="s">
        <v>335</v>
      </c>
      <c r="B73" s="14" t="s">
        <v>14</v>
      </c>
      <c r="C73" s="14" t="s">
        <v>56</v>
      </c>
      <c r="D73" s="14" t="s">
        <v>63</v>
      </c>
      <c r="E73" s="14" t="s">
        <v>58</v>
      </c>
      <c r="F73" s="14" t="s">
        <v>336</v>
      </c>
      <c r="G73" s="14" t="s">
        <v>337</v>
      </c>
      <c r="H73" s="14" t="s">
        <v>338</v>
      </c>
      <c r="I73" s="14"/>
      <c r="J73" s="14"/>
      <c r="K73" s="14"/>
      <c r="L73" s="14" t="s">
        <v>8</v>
      </c>
    </row>
    <row r="74" customFormat="false" ht="15" hidden="false" customHeight="false" outlineLevel="0" collapsed="false">
      <c r="A74" s="14" t="s">
        <v>339</v>
      </c>
      <c r="B74" s="14" t="s">
        <v>14</v>
      </c>
      <c r="C74" s="14" t="s">
        <v>56</v>
      </c>
      <c r="D74" s="14" t="s">
        <v>63</v>
      </c>
      <c r="E74" s="14" t="s">
        <v>58</v>
      </c>
      <c r="F74" s="14" t="s">
        <v>340</v>
      </c>
      <c r="G74" s="14" t="s">
        <v>341</v>
      </c>
      <c r="H74" s="14" t="s">
        <v>342</v>
      </c>
      <c r="I74" s="14"/>
      <c r="J74" s="14"/>
      <c r="K74" s="14"/>
      <c r="L74" s="14" t="s">
        <v>8</v>
      </c>
    </row>
    <row r="75" customFormat="false" ht="15" hidden="false" customHeight="false" outlineLevel="0" collapsed="false">
      <c r="A75" s="14" t="s">
        <v>343</v>
      </c>
      <c r="B75" s="14" t="s">
        <v>14</v>
      </c>
      <c r="C75" s="14" t="s">
        <v>56</v>
      </c>
      <c r="D75" s="14" t="s">
        <v>63</v>
      </c>
      <c r="E75" s="14" t="s">
        <v>58</v>
      </c>
      <c r="F75" s="14" t="s">
        <v>344</v>
      </c>
      <c r="G75" s="14" t="s">
        <v>345</v>
      </c>
      <c r="H75" s="14" t="s">
        <v>346</v>
      </c>
      <c r="I75" s="14"/>
      <c r="J75" s="14"/>
      <c r="K75" s="14"/>
      <c r="L75" s="14" t="s">
        <v>8</v>
      </c>
    </row>
    <row r="76" customFormat="false" ht="15" hidden="false" customHeight="false" outlineLevel="0" collapsed="false">
      <c r="A76" s="14" t="s">
        <v>347</v>
      </c>
      <c r="B76" s="14" t="s">
        <v>14</v>
      </c>
      <c r="C76" s="14" t="s">
        <v>56</v>
      </c>
      <c r="D76" s="14" t="s">
        <v>63</v>
      </c>
      <c r="E76" s="14" t="s">
        <v>58</v>
      </c>
      <c r="F76" s="14" t="s">
        <v>348</v>
      </c>
      <c r="G76" s="14" t="s">
        <v>349</v>
      </c>
      <c r="H76" s="14" t="s">
        <v>350</v>
      </c>
      <c r="I76" s="14"/>
      <c r="J76" s="14"/>
      <c r="K76" s="14"/>
      <c r="L76" s="14" t="s">
        <v>8</v>
      </c>
    </row>
    <row r="77" customFormat="false" ht="15" hidden="false" customHeight="false" outlineLevel="0" collapsed="false">
      <c r="A77" s="14" t="s">
        <v>351</v>
      </c>
      <c r="B77" s="14" t="s">
        <v>14</v>
      </c>
      <c r="C77" s="14" t="s">
        <v>56</v>
      </c>
      <c r="D77" s="14" t="s">
        <v>57</v>
      </c>
      <c r="E77" s="14" t="s">
        <v>58</v>
      </c>
      <c r="F77" s="14" t="s">
        <v>352</v>
      </c>
      <c r="G77" s="14" t="s">
        <v>353</v>
      </c>
      <c r="H77" s="14" t="s">
        <v>354</v>
      </c>
      <c r="I77" s="14"/>
      <c r="J77" s="14"/>
      <c r="K77" s="14"/>
      <c r="L77" s="14" t="s">
        <v>8</v>
      </c>
    </row>
    <row r="78" customFormat="false" ht="23.85" hidden="false" customHeight="false" outlineLevel="0" collapsed="false">
      <c r="A78" s="14" t="s">
        <v>355</v>
      </c>
      <c r="B78" s="14" t="s">
        <v>14</v>
      </c>
      <c r="C78" s="14" t="s">
        <v>141</v>
      </c>
      <c r="D78" s="14" t="s">
        <v>63</v>
      </c>
      <c r="E78" s="14" t="s">
        <v>58</v>
      </c>
      <c r="F78" s="14" t="s">
        <v>356</v>
      </c>
      <c r="G78" s="14" t="s">
        <v>357</v>
      </c>
      <c r="H78" s="14" t="s">
        <v>358</v>
      </c>
      <c r="I78" s="14"/>
      <c r="J78" s="14"/>
      <c r="K78" s="14"/>
      <c r="L78" s="14" t="s">
        <v>8</v>
      </c>
    </row>
    <row r="79" customFormat="false" ht="15" hidden="false" customHeight="false" outlineLevel="0" collapsed="false">
      <c r="A79" s="14" t="s">
        <v>359</v>
      </c>
      <c r="B79" s="14" t="s">
        <v>14</v>
      </c>
      <c r="C79" s="14" t="s">
        <v>45</v>
      </c>
      <c r="D79" s="14" t="s">
        <v>63</v>
      </c>
      <c r="E79" s="14" t="s">
        <v>58</v>
      </c>
      <c r="F79" s="14" t="s">
        <v>360</v>
      </c>
      <c r="G79" s="14" t="s">
        <v>361</v>
      </c>
      <c r="H79" s="14" t="s">
        <v>362</v>
      </c>
      <c r="I79" s="14"/>
      <c r="J79" s="14"/>
      <c r="K79" s="14"/>
      <c r="L79" s="14" t="s">
        <v>8</v>
      </c>
    </row>
    <row r="80" customFormat="false" ht="23.85" hidden="false" customHeight="false" outlineLevel="0" collapsed="false">
      <c r="A80" s="14" t="s">
        <v>363</v>
      </c>
      <c r="B80" s="14" t="s">
        <v>14</v>
      </c>
      <c r="C80" s="14" t="s">
        <v>45</v>
      </c>
      <c r="D80" s="14" t="s">
        <v>46</v>
      </c>
      <c r="E80" s="14" t="s">
        <v>47</v>
      </c>
      <c r="F80" s="14" t="s">
        <v>364</v>
      </c>
      <c r="G80" s="14" t="s">
        <v>365</v>
      </c>
      <c r="H80" s="14" t="s">
        <v>366</v>
      </c>
      <c r="I80" s="14"/>
      <c r="J80" s="14"/>
      <c r="K80" s="14"/>
      <c r="L80" s="14" t="s">
        <v>8</v>
      </c>
    </row>
    <row r="81" customFormat="false" ht="23.85" hidden="false" customHeight="false" outlineLevel="0" collapsed="false">
      <c r="A81" s="14" t="s">
        <v>367</v>
      </c>
      <c r="B81" s="14" t="s">
        <v>14</v>
      </c>
      <c r="C81" s="14" t="s">
        <v>45</v>
      </c>
      <c r="D81" s="14" t="s">
        <v>46</v>
      </c>
      <c r="E81" s="14" t="s">
        <v>47</v>
      </c>
      <c r="F81" s="14" t="s">
        <v>368</v>
      </c>
      <c r="G81" s="14" t="s">
        <v>369</v>
      </c>
      <c r="H81" s="14" t="s">
        <v>370</v>
      </c>
      <c r="I81" s="14"/>
      <c r="J81" s="14"/>
      <c r="K81" s="14"/>
      <c r="L81" s="14" t="s">
        <v>8</v>
      </c>
    </row>
    <row r="82" customFormat="false" ht="23.85" hidden="false" customHeight="false" outlineLevel="0" collapsed="false">
      <c r="A82" s="14" t="s">
        <v>371</v>
      </c>
      <c r="B82" s="14" t="s">
        <v>14</v>
      </c>
      <c r="C82" s="14" t="s">
        <v>45</v>
      </c>
      <c r="D82" s="14" t="s">
        <v>46</v>
      </c>
      <c r="E82" s="14" t="s">
        <v>47</v>
      </c>
      <c r="F82" s="14" t="s">
        <v>372</v>
      </c>
      <c r="G82" s="14" t="s">
        <v>373</v>
      </c>
      <c r="H82" s="14" t="s">
        <v>374</v>
      </c>
      <c r="I82" s="14"/>
      <c r="J82" s="14"/>
      <c r="K82" s="14"/>
      <c r="L82" s="14" t="s">
        <v>8</v>
      </c>
    </row>
    <row r="83" customFormat="false" ht="15" hidden="false" customHeight="false" outlineLevel="0" collapsed="false">
      <c r="A83" s="14" t="s">
        <v>375</v>
      </c>
      <c r="B83" s="14" t="s">
        <v>14</v>
      </c>
      <c r="C83" s="14" t="s">
        <v>56</v>
      </c>
      <c r="D83" s="14" t="s">
        <v>46</v>
      </c>
      <c r="E83" s="14" t="s">
        <v>47</v>
      </c>
      <c r="F83" s="14" t="s">
        <v>376</v>
      </c>
      <c r="G83" s="14" t="s">
        <v>377</v>
      </c>
      <c r="H83" s="14" t="s">
        <v>378</v>
      </c>
      <c r="I83" s="14"/>
      <c r="J83" s="14"/>
      <c r="K83" s="14"/>
      <c r="L83" s="14" t="s">
        <v>8</v>
      </c>
    </row>
    <row r="84" customFormat="false" ht="15" hidden="false" customHeight="false" outlineLevel="0" collapsed="false">
      <c r="A84" s="14" t="s">
        <v>379</v>
      </c>
      <c r="B84" s="14" t="s">
        <v>14</v>
      </c>
      <c r="C84" s="14" t="s">
        <v>56</v>
      </c>
      <c r="D84" s="14" t="s">
        <v>63</v>
      </c>
      <c r="E84" s="14" t="s">
        <v>58</v>
      </c>
      <c r="F84" s="14" t="s">
        <v>380</v>
      </c>
      <c r="G84" s="14" t="s">
        <v>381</v>
      </c>
      <c r="H84" s="14" t="s">
        <v>382</v>
      </c>
      <c r="I84" s="14"/>
      <c r="J84" s="14"/>
      <c r="K84" s="14"/>
      <c r="L84" s="14" t="s">
        <v>8</v>
      </c>
    </row>
    <row r="85" customFormat="false" ht="15" hidden="false" customHeight="false" outlineLevel="0" collapsed="false">
      <c r="A85" s="14" t="s">
        <v>383</v>
      </c>
      <c r="B85" s="14" t="s">
        <v>14</v>
      </c>
      <c r="C85" s="14" t="s">
        <v>56</v>
      </c>
      <c r="D85" s="14" t="s">
        <v>63</v>
      </c>
      <c r="E85" s="14" t="s">
        <v>58</v>
      </c>
      <c r="F85" s="14" t="s">
        <v>384</v>
      </c>
      <c r="G85" s="14" t="s">
        <v>385</v>
      </c>
      <c r="H85" s="14" t="s">
        <v>386</v>
      </c>
      <c r="I85" s="14"/>
      <c r="J85" s="14"/>
      <c r="K85" s="14"/>
      <c r="L85" s="14" t="s">
        <v>8</v>
      </c>
    </row>
    <row r="86" customFormat="false" ht="15" hidden="false" customHeight="false" outlineLevel="0" collapsed="false">
      <c r="A86" s="14" t="s">
        <v>387</v>
      </c>
      <c r="B86" s="14" t="s">
        <v>14</v>
      </c>
      <c r="C86" s="14" t="s">
        <v>45</v>
      </c>
      <c r="D86" s="14" t="s">
        <v>57</v>
      </c>
      <c r="E86" s="14" t="s">
        <v>58</v>
      </c>
      <c r="F86" s="14" t="s">
        <v>388</v>
      </c>
      <c r="G86" s="14" t="s">
        <v>389</v>
      </c>
      <c r="H86" s="14" t="s">
        <v>390</v>
      </c>
      <c r="I86" s="14"/>
      <c r="J86" s="14"/>
      <c r="K86" s="14"/>
      <c r="L86" s="14" t="s">
        <v>8</v>
      </c>
    </row>
    <row r="87" customFormat="false" ht="15" hidden="false" customHeight="false" outlineLevel="0" collapsed="false">
      <c r="A87" s="14" t="s">
        <v>391</v>
      </c>
      <c r="B87" s="14" t="s">
        <v>14</v>
      </c>
      <c r="C87" s="14" t="s">
        <v>45</v>
      </c>
      <c r="D87" s="14" t="s">
        <v>57</v>
      </c>
      <c r="E87" s="14" t="s">
        <v>58</v>
      </c>
      <c r="F87" s="14" t="s">
        <v>392</v>
      </c>
      <c r="G87" s="14" t="s">
        <v>393</v>
      </c>
      <c r="H87" s="14" t="s">
        <v>394</v>
      </c>
      <c r="I87" s="14"/>
      <c r="J87" s="14"/>
      <c r="K87" s="14"/>
      <c r="L87" s="14" t="s">
        <v>8</v>
      </c>
    </row>
    <row r="88" customFormat="false" ht="15" hidden="false" customHeight="false" outlineLevel="0" collapsed="false">
      <c r="A88" s="14" t="s">
        <v>395</v>
      </c>
      <c r="B88" s="14" t="s">
        <v>15</v>
      </c>
      <c r="C88" s="14" t="s">
        <v>45</v>
      </c>
      <c r="D88" s="14" t="s">
        <v>46</v>
      </c>
      <c r="E88" s="14" t="s">
        <v>47</v>
      </c>
      <c r="F88" s="14" t="s">
        <v>396</v>
      </c>
      <c r="G88" s="14" t="s">
        <v>397</v>
      </c>
      <c r="H88" s="14" t="s">
        <v>398</v>
      </c>
      <c r="I88" s="14"/>
      <c r="J88" s="14"/>
      <c r="K88" s="14"/>
      <c r="L88" s="14" t="s">
        <v>8</v>
      </c>
    </row>
    <row r="89" customFormat="false" ht="15" hidden="false" customHeight="false" outlineLevel="0" collapsed="false">
      <c r="A89" s="14" t="s">
        <v>399</v>
      </c>
      <c r="B89" s="14" t="s">
        <v>15</v>
      </c>
      <c r="C89" s="14" t="s">
        <v>45</v>
      </c>
      <c r="D89" s="14" t="s">
        <v>46</v>
      </c>
      <c r="E89" s="14" t="s">
        <v>47</v>
      </c>
      <c r="F89" s="14" t="s">
        <v>400</v>
      </c>
      <c r="G89" s="14" t="s">
        <v>401</v>
      </c>
      <c r="H89" s="14" t="s">
        <v>402</v>
      </c>
      <c r="I89" s="14"/>
      <c r="J89" s="14"/>
      <c r="K89" s="14"/>
      <c r="L89" s="14" t="s">
        <v>8</v>
      </c>
    </row>
    <row r="90" customFormat="false" ht="15" hidden="false" customHeight="false" outlineLevel="0" collapsed="false">
      <c r="A90" s="14" t="s">
        <v>403</v>
      </c>
      <c r="B90" s="14" t="s">
        <v>15</v>
      </c>
      <c r="C90" s="14" t="s">
        <v>45</v>
      </c>
      <c r="D90" s="14" t="s">
        <v>46</v>
      </c>
      <c r="E90" s="14" t="s">
        <v>47</v>
      </c>
      <c r="F90" s="14" t="s">
        <v>404</v>
      </c>
      <c r="G90" s="14" t="s">
        <v>405</v>
      </c>
      <c r="H90" s="14" t="s">
        <v>406</v>
      </c>
      <c r="I90" s="14"/>
      <c r="J90" s="14"/>
      <c r="K90" s="14"/>
      <c r="L90" s="14" t="s">
        <v>8</v>
      </c>
    </row>
    <row r="91" customFormat="false" ht="15" hidden="false" customHeight="false" outlineLevel="0" collapsed="false">
      <c r="A91" s="14" t="s">
        <v>407</v>
      </c>
      <c r="B91" s="14" t="s">
        <v>15</v>
      </c>
      <c r="C91" s="14" t="s">
        <v>80</v>
      </c>
      <c r="D91" s="14" t="s">
        <v>46</v>
      </c>
      <c r="E91" s="14" t="s">
        <v>47</v>
      </c>
      <c r="F91" s="14" t="s">
        <v>408</v>
      </c>
      <c r="G91" s="14" t="s">
        <v>409</v>
      </c>
      <c r="H91" s="14" t="s">
        <v>410</v>
      </c>
      <c r="I91" s="14"/>
      <c r="J91" s="14"/>
      <c r="K91" s="14"/>
      <c r="L91" s="14" t="s">
        <v>8</v>
      </c>
    </row>
    <row r="92" customFormat="false" ht="15" hidden="false" customHeight="false" outlineLevel="0" collapsed="false">
      <c r="A92" s="14" t="s">
        <v>411</v>
      </c>
      <c r="B92" s="14" t="s">
        <v>15</v>
      </c>
      <c r="C92" s="14" t="s">
        <v>80</v>
      </c>
      <c r="D92" s="14" t="s">
        <v>63</v>
      </c>
      <c r="E92" s="14" t="s">
        <v>58</v>
      </c>
      <c r="F92" s="14" t="s">
        <v>412</v>
      </c>
      <c r="G92" s="14" t="s">
        <v>413</v>
      </c>
      <c r="H92" s="14" t="s">
        <v>414</v>
      </c>
      <c r="I92" s="14"/>
      <c r="J92" s="14"/>
      <c r="K92" s="14"/>
      <c r="L92" s="14" t="s">
        <v>8</v>
      </c>
    </row>
    <row r="93" customFormat="false" ht="15" hidden="false" customHeight="false" outlineLevel="0" collapsed="false">
      <c r="A93" s="14" t="s">
        <v>415</v>
      </c>
      <c r="B93" s="14" t="s">
        <v>15</v>
      </c>
      <c r="C93" s="14" t="s">
        <v>80</v>
      </c>
      <c r="D93" s="14" t="s">
        <v>63</v>
      </c>
      <c r="E93" s="14" t="s">
        <v>58</v>
      </c>
      <c r="F93" s="14" t="s">
        <v>416</v>
      </c>
      <c r="G93" s="14" t="s">
        <v>417</v>
      </c>
      <c r="H93" s="14" t="s">
        <v>418</v>
      </c>
      <c r="I93" s="14"/>
      <c r="J93" s="14"/>
      <c r="K93" s="14"/>
      <c r="L93" s="14" t="s">
        <v>8</v>
      </c>
    </row>
    <row r="94" customFormat="false" ht="15" hidden="false" customHeight="false" outlineLevel="0" collapsed="false">
      <c r="A94" s="14" t="s">
        <v>419</v>
      </c>
      <c r="B94" s="14" t="s">
        <v>15</v>
      </c>
      <c r="C94" s="14" t="s">
        <v>141</v>
      </c>
      <c r="D94" s="14" t="s">
        <v>46</v>
      </c>
      <c r="E94" s="14" t="s">
        <v>58</v>
      </c>
      <c r="F94" s="14" t="s">
        <v>420</v>
      </c>
      <c r="G94" s="14" t="s">
        <v>421</v>
      </c>
      <c r="H94" s="14" t="s">
        <v>422</v>
      </c>
      <c r="I94" s="14"/>
      <c r="J94" s="14"/>
      <c r="K94" s="14"/>
      <c r="L94" s="14" t="s">
        <v>8</v>
      </c>
    </row>
    <row r="95" customFormat="false" ht="15" hidden="false" customHeight="false" outlineLevel="0" collapsed="false">
      <c r="A95" s="14" t="s">
        <v>423</v>
      </c>
      <c r="B95" s="14" t="s">
        <v>15</v>
      </c>
      <c r="C95" s="14" t="s">
        <v>80</v>
      </c>
      <c r="D95" s="14" t="s">
        <v>57</v>
      </c>
      <c r="E95" s="14" t="s">
        <v>58</v>
      </c>
      <c r="F95" s="14" t="s">
        <v>424</v>
      </c>
      <c r="G95" s="14" t="s">
        <v>425</v>
      </c>
      <c r="H95" s="14" t="s">
        <v>426</v>
      </c>
      <c r="I95" s="14"/>
      <c r="J95" s="14"/>
      <c r="K95" s="14"/>
      <c r="L95" s="14" t="s">
        <v>8</v>
      </c>
    </row>
    <row r="96" customFormat="false" ht="15" hidden="false" customHeight="false" outlineLevel="0" collapsed="false">
      <c r="A96" s="14" t="s">
        <v>427</v>
      </c>
      <c r="B96" s="14" t="s">
        <v>15</v>
      </c>
      <c r="C96" s="14" t="s">
        <v>56</v>
      </c>
      <c r="D96" s="14" t="s">
        <v>46</v>
      </c>
      <c r="E96" s="14" t="s">
        <v>47</v>
      </c>
      <c r="F96" s="14" t="s">
        <v>428</v>
      </c>
      <c r="G96" s="14" t="s">
        <v>429</v>
      </c>
      <c r="H96" s="14" t="s">
        <v>430</v>
      </c>
      <c r="I96" s="14"/>
      <c r="J96" s="14"/>
      <c r="K96" s="14"/>
      <c r="L96" s="14" t="s">
        <v>8</v>
      </c>
    </row>
    <row r="97" customFormat="false" ht="15" hidden="false" customHeight="false" outlineLevel="0" collapsed="false">
      <c r="A97" s="14" t="s">
        <v>431</v>
      </c>
      <c r="B97" s="14" t="s">
        <v>15</v>
      </c>
      <c r="C97" s="14" t="s">
        <v>45</v>
      </c>
      <c r="D97" s="14" t="s">
        <v>63</v>
      </c>
      <c r="E97" s="14" t="s">
        <v>58</v>
      </c>
      <c r="F97" s="14" t="s">
        <v>432</v>
      </c>
      <c r="G97" s="14" t="s">
        <v>433</v>
      </c>
      <c r="H97" s="14" t="s">
        <v>434</v>
      </c>
      <c r="I97" s="14"/>
      <c r="J97" s="14"/>
      <c r="K97" s="14"/>
      <c r="L97" s="14" t="s">
        <v>8</v>
      </c>
    </row>
    <row r="98" customFormat="false" ht="15" hidden="false" customHeight="false" outlineLevel="0" collapsed="false">
      <c r="A98" s="14" t="s">
        <v>435</v>
      </c>
      <c r="B98" s="14" t="s">
        <v>15</v>
      </c>
      <c r="C98" s="14" t="s">
        <v>80</v>
      </c>
      <c r="D98" s="14" t="s">
        <v>63</v>
      </c>
      <c r="E98" s="14" t="s">
        <v>58</v>
      </c>
      <c r="F98" s="14" t="s">
        <v>436</v>
      </c>
      <c r="G98" s="14" t="s">
        <v>437</v>
      </c>
      <c r="H98" s="14" t="s">
        <v>438</v>
      </c>
      <c r="I98" s="14"/>
      <c r="J98" s="14"/>
      <c r="K98" s="14"/>
      <c r="L98" s="14" t="s">
        <v>8</v>
      </c>
    </row>
    <row r="99" customFormat="false" ht="15" hidden="false" customHeight="false" outlineLevel="0" collapsed="false">
      <c r="A99" s="14" t="s">
        <v>439</v>
      </c>
      <c r="B99" s="14" t="s">
        <v>15</v>
      </c>
      <c r="C99" s="14" t="s">
        <v>80</v>
      </c>
      <c r="D99" s="14" t="s">
        <v>57</v>
      </c>
      <c r="E99" s="14" t="s">
        <v>58</v>
      </c>
      <c r="F99" s="14" t="s">
        <v>440</v>
      </c>
      <c r="G99" s="14" t="s">
        <v>441</v>
      </c>
      <c r="H99" s="14" t="s">
        <v>442</v>
      </c>
      <c r="I99" s="14"/>
      <c r="J99" s="14"/>
      <c r="K99" s="14"/>
      <c r="L99" s="14" t="s">
        <v>8</v>
      </c>
    </row>
    <row r="100" customFormat="false" ht="15" hidden="false" customHeight="false" outlineLevel="0" collapsed="false">
      <c r="A100" s="14" t="s">
        <v>443</v>
      </c>
      <c r="B100" s="14" t="s">
        <v>15</v>
      </c>
      <c r="C100" s="14" t="s">
        <v>45</v>
      </c>
      <c r="D100" s="14" t="s">
        <v>63</v>
      </c>
      <c r="E100" s="14" t="s">
        <v>58</v>
      </c>
      <c r="F100" s="14" t="s">
        <v>444</v>
      </c>
      <c r="G100" s="14" t="s">
        <v>445</v>
      </c>
      <c r="H100" s="14" t="s">
        <v>446</v>
      </c>
      <c r="I100" s="14"/>
      <c r="J100" s="14"/>
      <c r="K100" s="14"/>
      <c r="L100" s="14" t="s">
        <v>8</v>
      </c>
    </row>
    <row r="101" customFormat="false" ht="23.85" hidden="false" customHeight="false" outlineLevel="0" collapsed="false">
      <c r="A101" s="14" t="s">
        <v>447</v>
      </c>
      <c r="B101" s="14" t="s">
        <v>16</v>
      </c>
      <c r="C101" s="14" t="s">
        <v>45</v>
      </c>
      <c r="D101" s="14" t="s">
        <v>46</v>
      </c>
      <c r="E101" s="14" t="s">
        <v>47</v>
      </c>
      <c r="F101" s="14" t="s">
        <v>448</v>
      </c>
      <c r="G101" s="14" t="s">
        <v>449</v>
      </c>
      <c r="H101" s="14" t="s">
        <v>450</v>
      </c>
      <c r="I101" s="14"/>
      <c r="J101" s="14"/>
      <c r="K101" s="14"/>
      <c r="L101" s="14" t="s">
        <v>8</v>
      </c>
    </row>
    <row r="102" customFormat="false" ht="23.85" hidden="false" customHeight="false" outlineLevel="0" collapsed="false">
      <c r="A102" s="14" t="s">
        <v>451</v>
      </c>
      <c r="B102" s="14" t="s">
        <v>16</v>
      </c>
      <c r="C102" s="14" t="s">
        <v>45</v>
      </c>
      <c r="D102" s="14" t="s">
        <v>46</v>
      </c>
      <c r="E102" s="14" t="s">
        <v>47</v>
      </c>
      <c r="F102" s="14" t="s">
        <v>452</v>
      </c>
      <c r="G102" s="14" t="s">
        <v>453</v>
      </c>
      <c r="H102" s="14" t="s">
        <v>454</v>
      </c>
      <c r="I102" s="14"/>
      <c r="J102" s="14"/>
      <c r="K102" s="14"/>
      <c r="L102" s="14" t="s">
        <v>8</v>
      </c>
    </row>
    <row r="103" customFormat="false" ht="15" hidden="false" customHeight="false" outlineLevel="0" collapsed="false">
      <c r="A103" s="14" t="s">
        <v>455</v>
      </c>
      <c r="B103" s="14" t="s">
        <v>16</v>
      </c>
      <c r="C103" s="14" t="s">
        <v>45</v>
      </c>
      <c r="D103" s="14" t="s">
        <v>46</v>
      </c>
      <c r="E103" s="14" t="s">
        <v>47</v>
      </c>
      <c r="F103" s="14" t="s">
        <v>456</v>
      </c>
      <c r="G103" s="14" t="s">
        <v>457</v>
      </c>
      <c r="H103" s="14" t="s">
        <v>458</v>
      </c>
      <c r="I103" s="14"/>
      <c r="J103" s="14"/>
      <c r="K103" s="14"/>
      <c r="L103" s="14" t="s">
        <v>8</v>
      </c>
    </row>
    <row r="104" customFormat="false" ht="15" hidden="false" customHeight="false" outlineLevel="0" collapsed="false">
      <c r="A104" s="14" t="s">
        <v>459</v>
      </c>
      <c r="B104" s="14" t="s">
        <v>16</v>
      </c>
      <c r="C104" s="14" t="s">
        <v>56</v>
      </c>
      <c r="D104" s="14" t="s">
        <v>46</v>
      </c>
      <c r="E104" s="14" t="s">
        <v>47</v>
      </c>
      <c r="F104" s="14" t="s">
        <v>460</v>
      </c>
      <c r="G104" s="14" t="s">
        <v>461</v>
      </c>
      <c r="H104" s="14" t="s">
        <v>462</v>
      </c>
      <c r="I104" s="14"/>
      <c r="J104" s="14"/>
      <c r="K104" s="14"/>
      <c r="L104" s="14" t="s">
        <v>8</v>
      </c>
    </row>
    <row r="105" customFormat="false" ht="15" hidden="false" customHeight="false" outlineLevel="0" collapsed="false">
      <c r="A105" s="14" t="s">
        <v>463</v>
      </c>
      <c r="B105" s="14" t="s">
        <v>16</v>
      </c>
      <c r="C105" s="14" t="s">
        <v>80</v>
      </c>
      <c r="D105" s="14" t="s">
        <v>63</v>
      </c>
      <c r="E105" s="14" t="s">
        <v>58</v>
      </c>
      <c r="F105" s="14" t="s">
        <v>464</v>
      </c>
      <c r="G105" s="14" t="s">
        <v>465</v>
      </c>
      <c r="H105" s="14" t="s">
        <v>466</v>
      </c>
      <c r="I105" s="14"/>
      <c r="J105" s="14"/>
      <c r="K105" s="14"/>
      <c r="L105" s="14" t="s">
        <v>8</v>
      </c>
    </row>
    <row r="106" customFormat="false" ht="23.85" hidden="false" customHeight="false" outlineLevel="0" collapsed="false">
      <c r="A106" s="14" t="s">
        <v>467</v>
      </c>
      <c r="B106" s="14" t="s">
        <v>16</v>
      </c>
      <c r="C106" s="14" t="s">
        <v>45</v>
      </c>
      <c r="D106" s="14" t="s">
        <v>46</v>
      </c>
      <c r="E106" s="14" t="s">
        <v>47</v>
      </c>
      <c r="F106" s="14" t="s">
        <v>468</v>
      </c>
      <c r="G106" s="14" t="s">
        <v>469</v>
      </c>
      <c r="H106" s="14" t="s">
        <v>470</v>
      </c>
      <c r="I106" s="14"/>
      <c r="J106" s="14"/>
      <c r="K106" s="14"/>
      <c r="L106" s="14" t="s">
        <v>8</v>
      </c>
    </row>
    <row r="107" customFormat="false" ht="23.85" hidden="false" customHeight="false" outlineLevel="0" collapsed="false">
      <c r="A107" s="14" t="s">
        <v>471</v>
      </c>
      <c r="B107" s="14" t="s">
        <v>16</v>
      </c>
      <c r="C107" s="14" t="s">
        <v>45</v>
      </c>
      <c r="D107" s="14" t="s">
        <v>46</v>
      </c>
      <c r="E107" s="14" t="s">
        <v>47</v>
      </c>
      <c r="F107" s="14" t="s">
        <v>472</v>
      </c>
      <c r="G107" s="14" t="s">
        <v>473</v>
      </c>
      <c r="H107" s="14" t="s">
        <v>474</v>
      </c>
      <c r="I107" s="14"/>
      <c r="J107" s="14"/>
      <c r="K107" s="14"/>
      <c r="L107" s="14" t="s">
        <v>8</v>
      </c>
    </row>
    <row r="108" customFormat="false" ht="23.85" hidden="false" customHeight="false" outlineLevel="0" collapsed="false">
      <c r="A108" s="14" t="s">
        <v>475</v>
      </c>
      <c r="B108" s="14" t="s">
        <v>16</v>
      </c>
      <c r="C108" s="14" t="s">
        <v>45</v>
      </c>
      <c r="D108" s="14" t="s">
        <v>46</v>
      </c>
      <c r="E108" s="14" t="s">
        <v>47</v>
      </c>
      <c r="F108" s="14" t="s">
        <v>476</v>
      </c>
      <c r="G108" s="14" t="s">
        <v>477</v>
      </c>
      <c r="H108" s="14" t="s">
        <v>478</v>
      </c>
      <c r="I108" s="14"/>
      <c r="J108" s="14"/>
      <c r="K108" s="14"/>
      <c r="L108" s="14" t="s">
        <v>8</v>
      </c>
    </row>
    <row r="109" customFormat="false" ht="15" hidden="false" customHeight="false" outlineLevel="0" collapsed="false">
      <c r="A109" s="14" t="s">
        <v>479</v>
      </c>
      <c r="B109" s="14" t="s">
        <v>16</v>
      </c>
      <c r="C109" s="14" t="s">
        <v>56</v>
      </c>
      <c r="D109" s="14" t="s">
        <v>63</v>
      </c>
      <c r="E109" s="14" t="s">
        <v>58</v>
      </c>
      <c r="F109" s="14" t="s">
        <v>480</v>
      </c>
      <c r="G109" s="14" t="s">
        <v>481</v>
      </c>
      <c r="H109" s="14" t="s">
        <v>482</v>
      </c>
      <c r="I109" s="14"/>
      <c r="J109" s="14"/>
      <c r="K109" s="14"/>
      <c r="L109" s="14" t="s">
        <v>8</v>
      </c>
    </row>
    <row r="110" customFormat="false" ht="15" hidden="false" customHeight="false" outlineLevel="0" collapsed="false">
      <c r="A110" s="14" t="s">
        <v>483</v>
      </c>
      <c r="B110" s="14" t="s">
        <v>16</v>
      </c>
      <c r="C110" s="14" t="s">
        <v>45</v>
      </c>
      <c r="D110" s="14" t="s">
        <v>63</v>
      </c>
      <c r="E110" s="14" t="s">
        <v>58</v>
      </c>
      <c r="F110" s="14" t="s">
        <v>484</v>
      </c>
      <c r="G110" s="14" t="s">
        <v>485</v>
      </c>
      <c r="H110" s="14" t="s">
        <v>486</v>
      </c>
      <c r="I110" s="14"/>
      <c r="J110" s="14"/>
      <c r="K110" s="14"/>
      <c r="L110" s="14" t="s">
        <v>8</v>
      </c>
    </row>
    <row r="111" customFormat="false" ht="15" hidden="false" customHeight="false" outlineLevel="0" collapsed="false">
      <c r="A111" s="14" t="s">
        <v>487</v>
      </c>
      <c r="B111" s="14" t="s">
        <v>16</v>
      </c>
      <c r="C111" s="14" t="s">
        <v>56</v>
      </c>
      <c r="D111" s="14" t="s">
        <v>46</v>
      </c>
      <c r="E111" s="14" t="s">
        <v>58</v>
      </c>
      <c r="F111" s="14" t="s">
        <v>488</v>
      </c>
      <c r="G111" s="14" t="s">
        <v>489</v>
      </c>
      <c r="H111" s="14" t="s">
        <v>490</v>
      </c>
      <c r="I111" s="14"/>
      <c r="J111" s="14"/>
      <c r="K111" s="14"/>
      <c r="L111" s="14" t="s">
        <v>8</v>
      </c>
    </row>
    <row r="112" customFormat="false" ht="15" hidden="false" customHeight="false" outlineLevel="0" collapsed="false">
      <c r="A112" s="14" t="s">
        <v>491</v>
      </c>
      <c r="B112" s="14" t="s">
        <v>16</v>
      </c>
      <c r="C112" s="14" t="s">
        <v>45</v>
      </c>
      <c r="D112" s="14" t="s">
        <v>63</v>
      </c>
      <c r="E112" s="14" t="s">
        <v>58</v>
      </c>
      <c r="F112" s="14" t="s">
        <v>492</v>
      </c>
      <c r="G112" s="14" t="s">
        <v>493</v>
      </c>
      <c r="H112" s="14" t="s">
        <v>494</v>
      </c>
      <c r="I112" s="14"/>
      <c r="J112" s="14"/>
      <c r="K112" s="14"/>
      <c r="L112" s="14" t="s">
        <v>8</v>
      </c>
    </row>
    <row r="113" customFormat="false" ht="15" hidden="false" customHeight="false" outlineLevel="0" collapsed="false">
      <c r="A113" s="14" t="s">
        <v>495</v>
      </c>
      <c r="B113" s="14" t="s">
        <v>16</v>
      </c>
      <c r="C113" s="14" t="s">
        <v>45</v>
      </c>
      <c r="D113" s="14" t="s">
        <v>63</v>
      </c>
      <c r="E113" s="14" t="s">
        <v>58</v>
      </c>
      <c r="F113" s="14" t="s">
        <v>496</v>
      </c>
      <c r="G113" s="14" t="s">
        <v>497</v>
      </c>
      <c r="H113" s="14" t="s">
        <v>498</v>
      </c>
      <c r="I113" s="14"/>
      <c r="J113" s="14"/>
      <c r="K113" s="14"/>
      <c r="L113" s="14" t="s">
        <v>8</v>
      </c>
    </row>
    <row r="114" customFormat="false" ht="15" hidden="false" customHeight="false" outlineLevel="0" collapsed="false">
      <c r="A114" s="14" t="s">
        <v>499</v>
      </c>
      <c r="B114" s="14" t="s">
        <v>16</v>
      </c>
      <c r="C114" s="14" t="s">
        <v>45</v>
      </c>
      <c r="D114" s="14" t="s">
        <v>63</v>
      </c>
      <c r="E114" s="14" t="s">
        <v>58</v>
      </c>
      <c r="F114" s="14" t="s">
        <v>500</v>
      </c>
      <c r="G114" s="14" t="s">
        <v>501</v>
      </c>
      <c r="H114" s="14" t="s">
        <v>502</v>
      </c>
      <c r="I114" s="14"/>
      <c r="J114" s="14"/>
      <c r="K114" s="14"/>
      <c r="L114" s="14" t="s">
        <v>8</v>
      </c>
    </row>
    <row r="115" customFormat="false" ht="15" hidden="false" customHeight="false" outlineLevel="0" collapsed="false">
      <c r="A115" s="14" t="s">
        <v>503</v>
      </c>
      <c r="B115" s="14" t="s">
        <v>16</v>
      </c>
      <c r="C115" s="14" t="s">
        <v>45</v>
      </c>
      <c r="D115" s="14" t="s">
        <v>63</v>
      </c>
      <c r="E115" s="14" t="s">
        <v>58</v>
      </c>
      <c r="F115" s="14" t="s">
        <v>504</v>
      </c>
      <c r="G115" s="14" t="s">
        <v>505</v>
      </c>
      <c r="H115" s="14" t="s">
        <v>506</v>
      </c>
      <c r="I115" s="14"/>
      <c r="J115" s="14"/>
      <c r="K115" s="14"/>
      <c r="L115" s="14" t="s">
        <v>8</v>
      </c>
    </row>
    <row r="116" customFormat="false" ht="15" hidden="false" customHeight="false" outlineLevel="0" collapsed="false">
      <c r="A116" s="14" t="s">
        <v>507</v>
      </c>
      <c r="B116" s="14" t="s">
        <v>16</v>
      </c>
      <c r="C116" s="14" t="s">
        <v>80</v>
      </c>
      <c r="D116" s="14" t="s">
        <v>63</v>
      </c>
      <c r="E116" s="14" t="s">
        <v>58</v>
      </c>
      <c r="F116" s="14" t="s">
        <v>508</v>
      </c>
      <c r="G116" s="14" t="s">
        <v>509</v>
      </c>
      <c r="H116" s="14" t="s">
        <v>510</v>
      </c>
      <c r="I116" s="14"/>
      <c r="J116" s="14"/>
      <c r="K116" s="14"/>
      <c r="L116" s="14" t="s">
        <v>8</v>
      </c>
    </row>
    <row r="117" customFormat="false" ht="15" hidden="false" customHeight="false" outlineLevel="0" collapsed="false">
      <c r="A117" s="14" t="s">
        <v>511</v>
      </c>
      <c r="B117" s="14" t="s">
        <v>16</v>
      </c>
      <c r="C117" s="14" t="s">
        <v>141</v>
      </c>
      <c r="D117" s="14" t="s">
        <v>63</v>
      </c>
      <c r="E117" s="14" t="s">
        <v>58</v>
      </c>
      <c r="F117" s="14" t="s">
        <v>512</v>
      </c>
      <c r="G117" s="14" t="s">
        <v>513</v>
      </c>
      <c r="H117" s="14" t="s">
        <v>514</v>
      </c>
      <c r="I117" s="14"/>
      <c r="J117" s="14"/>
      <c r="K117" s="14"/>
      <c r="L117" s="14" t="s">
        <v>8</v>
      </c>
    </row>
    <row r="118" customFormat="false" ht="23.85" hidden="false" customHeight="false" outlineLevel="0" collapsed="false">
      <c r="A118" s="14" t="s">
        <v>515</v>
      </c>
      <c r="B118" s="14" t="s">
        <v>17</v>
      </c>
      <c r="C118" s="14" t="s">
        <v>45</v>
      </c>
      <c r="D118" s="14" t="s">
        <v>46</v>
      </c>
      <c r="E118" s="14" t="s">
        <v>47</v>
      </c>
      <c r="F118" s="14" t="s">
        <v>516</v>
      </c>
      <c r="G118" s="14" t="s">
        <v>517</v>
      </c>
      <c r="H118" s="14" t="s">
        <v>518</v>
      </c>
      <c r="I118" s="14"/>
      <c r="J118" s="14"/>
      <c r="K118" s="14"/>
      <c r="L118" s="14" t="s">
        <v>8</v>
      </c>
    </row>
    <row r="119" customFormat="false" ht="15" hidden="false" customHeight="false" outlineLevel="0" collapsed="false">
      <c r="A119" s="14" t="s">
        <v>519</v>
      </c>
      <c r="B119" s="14" t="s">
        <v>17</v>
      </c>
      <c r="C119" s="14" t="s">
        <v>45</v>
      </c>
      <c r="D119" s="14" t="s">
        <v>63</v>
      </c>
      <c r="E119" s="14" t="s">
        <v>58</v>
      </c>
      <c r="F119" s="14" t="s">
        <v>520</v>
      </c>
      <c r="G119" s="14" t="s">
        <v>521</v>
      </c>
      <c r="H119" s="14" t="s">
        <v>522</v>
      </c>
      <c r="I119" s="14"/>
      <c r="J119" s="14"/>
      <c r="K119" s="14"/>
      <c r="L119" s="14" t="s">
        <v>8</v>
      </c>
    </row>
    <row r="120" customFormat="false" ht="15" hidden="false" customHeight="false" outlineLevel="0" collapsed="false">
      <c r="A120" s="14" t="s">
        <v>523</v>
      </c>
      <c r="B120" s="14" t="s">
        <v>17</v>
      </c>
      <c r="C120" s="14" t="s">
        <v>45</v>
      </c>
      <c r="D120" s="14" t="s">
        <v>63</v>
      </c>
      <c r="E120" s="14" t="s">
        <v>58</v>
      </c>
      <c r="F120" s="14" t="s">
        <v>524</v>
      </c>
      <c r="G120" s="14" t="s">
        <v>525</v>
      </c>
      <c r="H120" s="14" t="s">
        <v>526</v>
      </c>
      <c r="I120" s="14"/>
      <c r="J120" s="14"/>
      <c r="K120" s="14"/>
      <c r="L120" s="14" t="s">
        <v>8</v>
      </c>
    </row>
    <row r="121" customFormat="false" ht="23.85" hidden="false" customHeight="false" outlineLevel="0" collapsed="false">
      <c r="A121" s="14" t="s">
        <v>527</v>
      </c>
      <c r="B121" s="14" t="s">
        <v>17</v>
      </c>
      <c r="C121" s="14" t="s">
        <v>45</v>
      </c>
      <c r="D121" s="14" t="s">
        <v>46</v>
      </c>
      <c r="E121" s="14" t="s">
        <v>47</v>
      </c>
      <c r="F121" s="14" t="s">
        <v>528</v>
      </c>
      <c r="G121" s="14" t="s">
        <v>529</v>
      </c>
      <c r="H121" s="14" t="s">
        <v>530</v>
      </c>
      <c r="I121" s="14"/>
      <c r="J121" s="14"/>
      <c r="K121" s="14"/>
      <c r="L121" s="14" t="s">
        <v>8</v>
      </c>
    </row>
    <row r="122" customFormat="false" ht="15" hidden="false" customHeight="false" outlineLevel="0" collapsed="false">
      <c r="A122" s="14" t="s">
        <v>531</v>
      </c>
      <c r="B122" s="14" t="s">
        <v>17</v>
      </c>
      <c r="C122" s="14" t="s">
        <v>45</v>
      </c>
      <c r="D122" s="14" t="s">
        <v>63</v>
      </c>
      <c r="E122" s="14" t="s">
        <v>58</v>
      </c>
      <c r="F122" s="14" t="s">
        <v>532</v>
      </c>
      <c r="G122" s="14" t="s">
        <v>533</v>
      </c>
      <c r="H122" s="14" t="s">
        <v>534</v>
      </c>
      <c r="I122" s="14"/>
      <c r="J122" s="14"/>
      <c r="K122" s="14"/>
      <c r="L122" s="14" t="s">
        <v>8</v>
      </c>
    </row>
    <row r="123" customFormat="false" ht="23.85" hidden="false" customHeight="false" outlineLevel="0" collapsed="false">
      <c r="A123" s="14" t="s">
        <v>535</v>
      </c>
      <c r="B123" s="14" t="s">
        <v>17</v>
      </c>
      <c r="C123" s="14" t="s">
        <v>45</v>
      </c>
      <c r="D123" s="14" t="s">
        <v>46</v>
      </c>
      <c r="E123" s="14" t="s">
        <v>47</v>
      </c>
      <c r="F123" s="14" t="s">
        <v>536</v>
      </c>
      <c r="G123" s="14" t="s">
        <v>537</v>
      </c>
      <c r="H123" s="14" t="s">
        <v>538</v>
      </c>
      <c r="I123" s="14"/>
      <c r="J123" s="14"/>
      <c r="K123" s="14"/>
      <c r="L123" s="14" t="s">
        <v>8</v>
      </c>
    </row>
    <row r="124" customFormat="false" ht="15" hidden="false" customHeight="false" outlineLevel="0" collapsed="false">
      <c r="A124" s="14" t="s">
        <v>539</v>
      </c>
      <c r="B124" s="14" t="s">
        <v>17</v>
      </c>
      <c r="C124" s="14" t="s">
        <v>45</v>
      </c>
      <c r="D124" s="14" t="s">
        <v>63</v>
      </c>
      <c r="E124" s="14" t="s">
        <v>58</v>
      </c>
      <c r="F124" s="14" t="s">
        <v>540</v>
      </c>
      <c r="G124" s="14" t="s">
        <v>541</v>
      </c>
      <c r="H124" s="14" t="s">
        <v>542</v>
      </c>
      <c r="I124" s="14"/>
      <c r="J124" s="14"/>
      <c r="K124" s="14"/>
      <c r="L124" s="14" t="s">
        <v>8</v>
      </c>
    </row>
    <row r="125" customFormat="false" ht="15" hidden="false" customHeight="false" outlineLevel="0" collapsed="false">
      <c r="A125" s="14" t="s">
        <v>543</v>
      </c>
      <c r="B125" s="14" t="s">
        <v>17</v>
      </c>
      <c r="C125" s="14" t="s">
        <v>56</v>
      </c>
      <c r="D125" s="14" t="s">
        <v>46</v>
      </c>
      <c r="E125" s="14" t="s">
        <v>47</v>
      </c>
      <c r="F125" s="14" t="s">
        <v>544</v>
      </c>
      <c r="G125" s="14" t="s">
        <v>545</v>
      </c>
      <c r="H125" s="14" t="s">
        <v>546</v>
      </c>
      <c r="I125" s="14"/>
      <c r="J125" s="14"/>
      <c r="K125" s="14"/>
      <c r="L125" s="14" t="s">
        <v>8</v>
      </c>
    </row>
    <row r="126" customFormat="false" ht="15" hidden="false" customHeight="false" outlineLevel="0" collapsed="false">
      <c r="A126" s="14" t="s">
        <v>547</v>
      </c>
      <c r="B126" s="14" t="s">
        <v>17</v>
      </c>
      <c r="C126" s="14" t="s">
        <v>45</v>
      </c>
      <c r="D126" s="14" t="s">
        <v>46</v>
      </c>
      <c r="E126" s="14" t="s">
        <v>47</v>
      </c>
      <c r="F126" s="14" t="s">
        <v>548</v>
      </c>
      <c r="G126" s="14" t="s">
        <v>549</v>
      </c>
      <c r="H126" s="14" t="s">
        <v>550</v>
      </c>
      <c r="I126" s="14"/>
      <c r="J126" s="14"/>
      <c r="K126" s="14"/>
      <c r="L126" s="14" t="s">
        <v>8</v>
      </c>
    </row>
    <row r="127" customFormat="false" ht="15" hidden="false" customHeight="false" outlineLevel="0" collapsed="false">
      <c r="A127" s="14" t="s">
        <v>551</v>
      </c>
      <c r="B127" s="14" t="s">
        <v>17</v>
      </c>
      <c r="C127" s="14" t="s">
        <v>45</v>
      </c>
      <c r="D127" s="14" t="s">
        <v>46</v>
      </c>
      <c r="E127" s="14" t="s">
        <v>47</v>
      </c>
      <c r="F127" s="14" t="s">
        <v>552</v>
      </c>
      <c r="G127" s="14" t="s">
        <v>553</v>
      </c>
      <c r="H127" s="14" t="s">
        <v>554</v>
      </c>
      <c r="I127" s="14"/>
      <c r="J127" s="14"/>
      <c r="K127" s="14"/>
      <c r="L127" s="14" t="s">
        <v>8</v>
      </c>
    </row>
    <row r="128" customFormat="false" ht="15" hidden="false" customHeight="false" outlineLevel="0" collapsed="false">
      <c r="A128" s="14" t="s">
        <v>555</v>
      </c>
      <c r="B128" s="14" t="s">
        <v>17</v>
      </c>
      <c r="C128" s="14" t="s">
        <v>56</v>
      </c>
      <c r="D128" s="14" t="s">
        <v>63</v>
      </c>
      <c r="E128" s="14" t="s">
        <v>58</v>
      </c>
      <c r="F128" s="14" t="s">
        <v>556</v>
      </c>
      <c r="G128" s="14" t="s">
        <v>557</v>
      </c>
      <c r="H128" s="14" t="s">
        <v>558</v>
      </c>
      <c r="I128" s="14"/>
      <c r="J128" s="14"/>
      <c r="K128" s="14"/>
      <c r="L128" s="14" t="s">
        <v>8</v>
      </c>
    </row>
    <row r="129" customFormat="false" ht="15" hidden="false" customHeight="false" outlineLevel="0" collapsed="false">
      <c r="A129" s="14" t="s">
        <v>559</v>
      </c>
      <c r="B129" s="14" t="s">
        <v>17</v>
      </c>
      <c r="C129" s="14" t="s">
        <v>45</v>
      </c>
      <c r="D129" s="14" t="s">
        <v>46</v>
      </c>
      <c r="E129" s="14" t="s">
        <v>47</v>
      </c>
      <c r="F129" s="14" t="s">
        <v>560</v>
      </c>
      <c r="G129" s="14" t="s">
        <v>561</v>
      </c>
      <c r="H129" s="14" t="s">
        <v>562</v>
      </c>
      <c r="I129" s="14"/>
      <c r="J129" s="14"/>
      <c r="K129" s="14"/>
      <c r="L129" s="14" t="s">
        <v>8</v>
      </c>
    </row>
    <row r="130" customFormat="false" ht="15" hidden="false" customHeight="false" outlineLevel="0" collapsed="false">
      <c r="A130" s="14" t="s">
        <v>563</v>
      </c>
      <c r="B130" s="14" t="s">
        <v>17</v>
      </c>
      <c r="C130" s="14" t="s">
        <v>56</v>
      </c>
      <c r="D130" s="14" t="s">
        <v>63</v>
      </c>
      <c r="E130" s="14" t="s">
        <v>58</v>
      </c>
      <c r="F130" s="14" t="s">
        <v>480</v>
      </c>
      <c r="G130" s="14" t="s">
        <v>564</v>
      </c>
      <c r="H130" s="14" t="s">
        <v>7</v>
      </c>
      <c r="I130" s="14"/>
      <c r="J130" s="14"/>
      <c r="K130" s="14"/>
      <c r="L130" s="14" t="s">
        <v>8</v>
      </c>
    </row>
    <row r="131" customFormat="false" ht="23.85" hidden="false" customHeight="false" outlineLevel="0" collapsed="false">
      <c r="A131" s="14" t="s">
        <v>565</v>
      </c>
      <c r="B131" s="14" t="s">
        <v>17</v>
      </c>
      <c r="C131" s="14" t="s">
        <v>45</v>
      </c>
      <c r="D131" s="14" t="s">
        <v>46</v>
      </c>
      <c r="E131" s="14" t="s">
        <v>47</v>
      </c>
      <c r="F131" s="14" t="s">
        <v>566</v>
      </c>
      <c r="G131" s="14" t="s">
        <v>567</v>
      </c>
      <c r="H131" s="14" t="s">
        <v>568</v>
      </c>
      <c r="I131" s="14"/>
      <c r="J131" s="14"/>
      <c r="K131" s="14"/>
      <c r="L131" s="14" t="s">
        <v>8</v>
      </c>
    </row>
    <row r="132" customFormat="false" ht="15" hidden="false" customHeight="false" outlineLevel="0" collapsed="false">
      <c r="A132" s="14" t="s">
        <v>569</v>
      </c>
      <c r="B132" s="14" t="s">
        <v>17</v>
      </c>
      <c r="C132" s="14" t="s">
        <v>56</v>
      </c>
      <c r="D132" s="14" t="s">
        <v>46</v>
      </c>
      <c r="E132" s="14" t="s">
        <v>58</v>
      </c>
      <c r="F132" s="14" t="s">
        <v>570</v>
      </c>
      <c r="G132" s="14" t="s">
        <v>571</v>
      </c>
      <c r="H132" s="14" t="s">
        <v>572</v>
      </c>
      <c r="I132" s="14"/>
      <c r="J132" s="14"/>
      <c r="K132" s="14"/>
      <c r="L132" s="14" t="s">
        <v>8</v>
      </c>
    </row>
    <row r="133" customFormat="false" ht="23.85" hidden="false" customHeight="false" outlineLevel="0" collapsed="false">
      <c r="A133" s="14" t="s">
        <v>573</v>
      </c>
      <c r="B133" s="14" t="s">
        <v>17</v>
      </c>
      <c r="C133" s="14" t="s">
        <v>141</v>
      </c>
      <c r="D133" s="14" t="s">
        <v>46</v>
      </c>
      <c r="E133" s="14" t="s">
        <v>58</v>
      </c>
      <c r="F133" s="14" t="s">
        <v>574</v>
      </c>
      <c r="G133" s="14" t="s">
        <v>575</v>
      </c>
      <c r="H133" s="14" t="s">
        <v>576</v>
      </c>
      <c r="I133" s="14"/>
      <c r="J133" s="14"/>
      <c r="K133" s="14"/>
      <c r="L133" s="14" t="s">
        <v>8</v>
      </c>
    </row>
    <row r="134" customFormat="false" ht="15" hidden="false" customHeight="false" outlineLevel="0" collapsed="false">
      <c r="A134" s="14" t="s">
        <v>577</v>
      </c>
      <c r="B134" s="14" t="s">
        <v>17</v>
      </c>
      <c r="C134" s="14" t="s">
        <v>80</v>
      </c>
      <c r="D134" s="14" t="s">
        <v>46</v>
      </c>
      <c r="E134" s="14" t="s">
        <v>58</v>
      </c>
      <c r="F134" s="14" t="s">
        <v>578</v>
      </c>
      <c r="G134" s="14" t="s">
        <v>579</v>
      </c>
      <c r="H134" s="14" t="s">
        <v>580</v>
      </c>
      <c r="I134" s="14"/>
      <c r="J134" s="14"/>
      <c r="K134" s="14"/>
      <c r="L134" s="14" t="s">
        <v>8</v>
      </c>
    </row>
    <row r="135" customFormat="false" ht="15" hidden="false" customHeight="false" outlineLevel="0" collapsed="false">
      <c r="A135" s="14" t="s">
        <v>581</v>
      </c>
      <c r="B135" s="14" t="s">
        <v>17</v>
      </c>
      <c r="C135" s="14" t="s">
        <v>80</v>
      </c>
      <c r="D135" s="14" t="s">
        <v>63</v>
      </c>
      <c r="E135" s="14" t="s">
        <v>58</v>
      </c>
      <c r="F135" s="14" t="s">
        <v>582</v>
      </c>
      <c r="G135" s="14" t="s">
        <v>583</v>
      </c>
      <c r="H135" s="14" t="s">
        <v>584</v>
      </c>
      <c r="I135" s="14"/>
      <c r="J135" s="14"/>
      <c r="K135" s="14"/>
      <c r="L135" s="14" t="s">
        <v>8</v>
      </c>
    </row>
    <row r="136" customFormat="false" ht="15" hidden="false" customHeight="false" outlineLevel="0" collapsed="false">
      <c r="A136" s="14" t="s">
        <v>585</v>
      </c>
      <c r="B136" s="14" t="s">
        <v>17</v>
      </c>
      <c r="C136" s="14" t="s">
        <v>45</v>
      </c>
      <c r="D136" s="14" t="s">
        <v>63</v>
      </c>
      <c r="E136" s="14" t="s">
        <v>58</v>
      </c>
      <c r="F136" s="14" t="s">
        <v>586</v>
      </c>
      <c r="G136" s="14" t="s">
        <v>587</v>
      </c>
      <c r="H136" s="14" t="s">
        <v>588</v>
      </c>
      <c r="I136" s="14"/>
      <c r="J136" s="14"/>
      <c r="K136" s="14"/>
      <c r="L136" s="14" t="s">
        <v>8</v>
      </c>
    </row>
    <row r="137" customFormat="false" ht="15" hidden="false" customHeight="false" outlineLevel="0" collapsed="false">
      <c r="A137" s="14" t="s">
        <v>589</v>
      </c>
      <c r="B137" s="14" t="s">
        <v>17</v>
      </c>
      <c r="C137" s="14" t="s">
        <v>45</v>
      </c>
      <c r="D137" s="14" t="s">
        <v>63</v>
      </c>
      <c r="E137" s="14" t="s">
        <v>58</v>
      </c>
      <c r="F137" s="14" t="s">
        <v>590</v>
      </c>
      <c r="G137" s="14" t="s">
        <v>591</v>
      </c>
      <c r="H137" s="14" t="s">
        <v>592</v>
      </c>
      <c r="I137" s="14"/>
      <c r="J137" s="14"/>
      <c r="K137" s="14"/>
      <c r="L137" s="14" t="s">
        <v>8</v>
      </c>
    </row>
    <row r="138" customFormat="false" ht="15" hidden="false" customHeight="false" outlineLevel="0" collapsed="false">
      <c r="A138" s="14" t="s">
        <v>593</v>
      </c>
      <c r="B138" s="14" t="s">
        <v>17</v>
      </c>
      <c r="C138" s="14" t="s">
        <v>56</v>
      </c>
      <c r="D138" s="14" t="s">
        <v>57</v>
      </c>
      <c r="E138" s="14" t="s">
        <v>58</v>
      </c>
      <c r="F138" s="14" t="s">
        <v>594</v>
      </c>
      <c r="G138" s="14" t="s">
        <v>595</v>
      </c>
      <c r="H138" s="14" t="s">
        <v>596</v>
      </c>
      <c r="I138" s="14"/>
      <c r="J138" s="14"/>
      <c r="K138" s="14"/>
      <c r="L138" s="14" t="s">
        <v>8</v>
      </c>
    </row>
    <row r="139" customFormat="false" ht="23.85" hidden="false" customHeight="false" outlineLevel="0" collapsed="false">
      <c r="A139" s="14" t="s">
        <v>597</v>
      </c>
      <c r="B139" s="14" t="s">
        <v>18</v>
      </c>
      <c r="C139" s="14" t="s">
        <v>45</v>
      </c>
      <c r="D139" s="14" t="s">
        <v>46</v>
      </c>
      <c r="E139" s="14" t="s">
        <v>47</v>
      </c>
      <c r="F139" s="14" t="s">
        <v>598</v>
      </c>
      <c r="G139" s="14" t="s">
        <v>599</v>
      </c>
      <c r="H139" s="14" t="s">
        <v>600</v>
      </c>
      <c r="I139" s="14"/>
      <c r="J139" s="14"/>
      <c r="K139" s="14"/>
      <c r="L139" s="14" t="s">
        <v>8</v>
      </c>
    </row>
    <row r="140" customFormat="false" ht="15" hidden="false" customHeight="false" outlineLevel="0" collapsed="false">
      <c r="A140" s="14" t="s">
        <v>601</v>
      </c>
      <c r="B140" s="14" t="s">
        <v>18</v>
      </c>
      <c r="C140" s="14" t="s">
        <v>45</v>
      </c>
      <c r="D140" s="14" t="s">
        <v>46</v>
      </c>
      <c r="E140" s="14" t="s">
        <v>47</v>
      </c>
      <c r="F140" s="14" t="s">
        <v>602</v>
      </c>
      <c r="G140" s="14" t="s">
        <v>222</v>
      </c>
      <c r="H140" s="14" t="s">
        <v>603</v>
      </c>
      <c r="I140" s="14"/>
      <c r="J140" s="14"/>
      <c r="K140" s="14"/>
      <c r="L140" s="14" t="s">
        <v>8</v>
      </c>
    </row>
    <row r="141" customFormat="false" ht="15" hidden="false" customHeight="false" outlineLevel="0" collapsed="false">
      <c r="A141" s="14" t="s">
        <v>604</v>
      </c>
      <c r="B141" s="14" t="s">
        <v>18</v>
      </c>
      <c r="C141" s="14" t="s">
        <v>45</v>
      </c>
      <c r="D141" s="14" t="s">
        <v>63</v>
      </c>
      <c r="E141" s="14" t="s">
        <v>58</v>
      </c>
      <c r="F141" s="14" t="s">
        <v>605</v>
      </c>
      <c r="G141" s="14" t="s">
        <v>606</v>
      </c>
      <c r="H141" s="14" t="s">
        <v>607</v>
      </c>
      <c r="I141" s="14"/>
      <c r="J141" s="14"/>
      <c r="K141" s="14"/>
      <c r="L141" s="14" t="s">
        <v>8</v>
      </c>
    </row>
    <row r="142" customFormat="false" ht="15" hidden="false" customHeight="false" outlineLevel="0" collapsed="false">
      <c r="A142" s="14" t="s">
        <v>608</v>
      </c>
      <c r="B142" s="14" t="s">
        <v>18</v>
      </c>
      <c r="C142" s="14" t="s">
        <v>45</v>
      </c>
      <c r="D142" s="14" t="s">
        <v>46</v>
      </c>
      <c r="E142" s="14" t="s">
        <v>47</v>
      </c>
      <c r="F142" s="14" t="s">
        <v>609</v>
      </c>
      <c r="G142" s="14" t="s">
        <v>610</v>
      </c>
      <c r="H142" s="14" t="s">
        <v>611</v>
      </c>
      <c r="I142" s="14"/>
      <c r="J142" s="14"/>
      <c r="K142" s="14"/>
      <c r="L142" s="14" t="s">
        <v>8</v>
      </c>
    </row>
    <row r="143" customFormat="false" ht="23.85" hidden="false" customHeight="false" outlineLevel="0" collapsed="false">
      <c r="A143" s="14" t="s">
        <v>612</v>
      </c>
      <c r="B143" s="14" t="s">
        <v>18</v>
      </c>
      <c r="C143" s="14" t="s">
        <v>45</v>
      </c>
      <c r="D143" s="14" t="s">
        <v>63</v>
      </c>
      <c r="E143" s="14" t="s">
        <v>58</v>
      </c>
      <c r="F143" s="14" t="s">
        <v>613</v>
      </c>
      <c r="G143" s="14" t="s">
        <v>614</v>
      </c>
      <c r="H143" s="14" t="s">
        <v>615</v>
      </c>
      <c r="I143" s="14"/>
      <c r="J143" s="14"/>
      <c r="K143" s="14"/>
      <c r="L143" s="14" t="s">
        <v>8</v>
      </c>
    </row>
    <row r="144" customFormat="false" ht="15" hidden="false" customHeight="false" outlineLevel="0" collapsed="false">
      <c r="A144" s="14" t="s">
        <v>616</v>
      </c>
      <c r="B144" s="14" t="s">
        <v>18</v>
      </c>
      <c r="C144" s="14" t="s">
        <v>45</v>
      </c>
      <c r="D144" s="14" t="s">
        <v>57</v>
      </c>
      <c r="E144" s="14" t="s">
        <v>58</v>
      </c>
      <c r="F144" s="14" t="s">
        <v>617</v>
      </c>
      <c r="G144" s="14" t="s">
        <v>618</v>
      </c>
      <c r="H144" s="14" t="s">
        <v>619</v>
      </c>
      <c r="I144" s="14"/>
      <c r="J144" s="14"/>
      <c r="K144" s="14"/>
      <c r="L144" s="14" t="s">
        <v>8</v>
      </c>
    </row>
    <row r="145" customFormat="false" ht="15" hidden="false" customHeight="false" outlineLevel="0" collapsed="false">
      <c r="A145" s="14" t="s">
        <v>620</v>
      </c>
      <c r="B145" s="14" t="s">
        <v>18</v>
      </c>
      <c r="C145" s="14" t="s">
        <v>45</v>
      </c>
      <c r="D145" s="14" t="s">
        <v>63</v>
      </c>
      <c r="E145" s="14" t="s">
        <v>58</v>
      </c>
      <c r="F145" s="14" t="s">
        <v>621</v>
      </c>
      <c r="G145" s="14" t="s">
        <v>622</v>
      </c>
      <c r="H145" s="14" t="s">
        <v>623</v>
      </c>
      <c r="I145" s="14"/>
      <c r="J145" s="14"/>
      <c r="K145" s="14"/>
      <c r="L145" s="14" t="s">
        <v>8</v>
      </c>
    </row>
    <row r="146" customFormat="false" ht="15" hidden="false" customHeight="false" outlineLevel="0" collapsed="false">
      <c r="A146" s="14" t="s">
        <v>624</v>
      </c>
      <c r="B146" s="14" t="s">
        <v>18</v>
      </c>
      <c r="C146" s="14" t="s">
        <v>625</v>
      </c>
      <c r="D146" s="14" t="s">
        <v>46</v>
      </c>
      <c r="E146" s="14" t="s">
        <v>58</v>
      </c>
      <c r="F146" s="14" t="s">
        <v>626</v>
      </c>
      <c r="G146" s="14" t="s">
        <v>627</v>
      </c>
      <c r="H146" s="14" t="s">
        <v>628</v>
      </c>
      <c r="I146" s="14"/>
      <c r="J146" s="14"/>
      <c r="K146" s="14"/>
      <c r="L146" s="14" t="s">
        <v>8</v>
      </c>
    </row>
    <row r="147" customFormat="false" ht="15" hidden="false" customHeight="false" outlineLevel="0" collapsed="false">
      <c r="A147" s="14" t="s">
        <v>629</v>
      </c>
      <c r="B147" s="14" t="s">
        <v>18</v>
      </c>
      <c r="C147" s="14" t="s">
        <v>45</v>
      </c>
      <c r="D147" s="14" t="s">
        <v>57</v>
      </c>
      <c r="E147" s="14" t="s">
        <v>58</v>
      </c>
      <c r="F147" s="14" t="s">
        <v>630</v>
      </c>
      <c r="G147" s="14" t="s">
        <v>631</v>
      </c>
      <c r="H147" s="14" t="s">
        <v>632</v>
      </c>
      <c r="I147" s="14"/>
      <c r="J147" s="14"/>
      <c r="K147" s="14"/>
      <c r="L147" s="14" t="s">
        <v>8</v>
      </c>
    </row>
    <row r="148" customFormat="false" ht="15" hidden="false" customHeight="false" outlineLevel="0" collapsed="false">
      <c r="A148" s="14" t="s">
        <v>633</v>
      </c>
      <c r="B148" s="14" t="s">
        <v>18</v>
      </c>
      <c r="C148" s="14" t="s">
        <v>45</v>
      </c>
      <c r="D148" s="14" t="s">
        <v>63</v>
      </c>
      <c r="E148" s="14" t="s">
        <v>58</v>
      </c>
      <c r="F148" s="14" t="s">
        <v>634</v>
      </c>
      <c r="G148" s="14" t="s">
        <v>635</v>
      </c>
      <c r="H148" s="14" t="s">
        <v>251</v>
      </c>
      <c r="I148" s="14"/>
      <c r="J148" s="14"/>
      <c r="K148" s="14"/>
      <c r="L148" s="14" t="s">
        <v>8</v>
      </c>
    </row>
    <row r="149" customFormat="false" ht="23.85" hidden="false" customHeight="false" outlineLevel="0" collapsed="false">
      <c r="A149" s="14" t="s">
        <v>636</v>
      </c>
      <c r="B149" s="14" t="s">
        <v>19</v>
      </c>
      <c r="C149" s="14" t="s">
        <v>45</v>
      </c>
      <c r="D149" s="14" t="s">
        <v>63</v>
      </c>
      <c r="E149" s="14" t="s">
        <v>58</v>
      </c>
      <c r="F149" s="14" t="s">
        <v>637</v>
      </c>
      <c r="G149" s="14" t="s">
        <v>638</v>
      </c>
      <c r="H149" s="14" t="s">
        <v>639</v>
      </c>
      <c r="I149" s="14"/>
      <c r="J149" s="14"/>
      <c r="K149" s="14"/>
      <c r="L149" s="14" t="s">
        <v>8</v>
      </c>
    </row>
    <row r="150" customFormat="false" ht="23.85" hidden="false" customHeight="false" outlineLevel="0" collapsed="false">
      <c r="A150" s="14" t="s">
        <v>640</v>
      </c>
      <c r="B150" s="14" t="s">
        <v>19</v>
      </c>
      <c r="C150" s="14" t="s">
        <v>45</v>
      </c>
      <c r="D150" s="14" t="s">
        <v>63</v>
      </c>
      <c r="E150" s="14" t="s">
        <v>58</v>
      </c>
      <c r="F150" s="14" t="s">
        <v>641</v>
      </c>
      <c r="G150" s="14" t="s">
        <v>642</v>
      </c>
      <c r="H150" s="14" t="s">
        <v>643</v>
      </c>
      <c r="I150" s="14"/>
      <c r="J150" s="14"/>
      <c r="K150" s="14"/>
      <c r="L150" s="14" t="s">
        <v>8</v>
      </c>
    </row>
    <row r="151" customFormat="false" ht="23.85" hidden="false" customHeight="false" outlineLevel="0" collapsed="false">
      <c r="A151" s="14" t="s">
        <v>644</v>
      </c>
      <c r="B151" s="14" t="s">
        <v>19</v>
      </c>
      <c r="C151" s="14" t="s">
        <v>45</v>
      </c>
      <c r="D151" s="14" t="s">
        <v>46</v>
      </c>
      <c r="E151" s="14" t="s">
        <v>47</v>
      </c>
      <c r="F151" s="14" t="s">
        <v>645</v>
      </c>
      <c r="G151" s="14" t="s">
        <v>646</v>
      </c>
      <c r="H151" s="14" t="s">
        <v>647</v>
      </c>
      <c r="I151" s="14"/>
      <c r="J151" s="14"/>
      <c r="K151" s="14"/>
      <c r="L151" s="14" t="s">
        <v>8</v>
      </c>
    </row>
    <row r="152" customFormat="false" ht="23.85" hidden="false" customHeight="false" outlineLevel="0" collapsed="false">
      <c r="A152" s="14" t="s">
        <v>648</v>
      </c>
      <c r="B152" s="14" t="s">
        <v>19</v>
      </c>
      <c r="C152" s="14" t="s">
        <v>56</v>
      </c>
      <c r="D152" s="14" t="s">
        <v>63</v>
      </c>
      <c r="E152" s="14" t="s">
        <v>58</v>
      </c>
      <c r="F152" s="14" t="s">
        <v>649</v>
      </c>
      <c r="G152" s="14" t="s">
        <v>650</v>
      </c>
      <c r="H152" s="14" t="s">
        <v>207</v>
      </c>
      <c r="I152" s="14"/>
      <c r="J152" s="14"/>
      <c r="K152" s="14"/>
      <c r="L152" s="14" t="s">
        <v>8</v>
      </c>
    </row>
    <row r="153" customFormat="false" ht="23.85" hidden="false" customHeight="false" outlineLevel="0" collapsed="false">
      <c r="A153" s="14" t="s">
        <v>651</v>
      </c>
      <c r="B153" s="14" t="s">
        <v>19</v>
      </c>
      <c r="C153" s="14" t="s">
        <v>45</v>
      </c>
      <c r="D153" s="14" t="s">
        <v>63</v>
      </c>
      <c r="E153" s="14" t="s">
        <v>58</v>
      </c>
      <c r="F153" s="14" t="s">
        <v>652</v>
      </c>
      <c r="G153" s="14" t="s">
        <v>653</v>
      </c>
      <c r="H153" s="14" t="s">
        <v>654</v>
      </c>
      <c r="I153" s="14"/>
      <c r="J153" s="14"/>
      <c r="K153" s="14"/>
      <c r="L153" s="14" t="s">
        <v>8</v>
      </c>
    </row>
    <row r="154" customFormat="false" ht="23.85" hidden="false" customHeight="false" outlineLevel="0" collapsed="false">
      <c r="A154" s="14" t="s">
        <v>655</v>
      </c>
      <c r="B154" s="14" t="s">
        <v>19</v>
      </c>
      <c r="C154" s="14" t="s">
        <v>141</v>
      </c>
      <c r="D154" s="14" t="s">
        <v>63</v>
      </c>
      <c r="E154" s="14" t="s">
        <v>58</v>
      </c>
      <c r="F154" s="14" t="s">
        <v>656</v>
      </c>
      <c r="G154" s="14" t="s">
        <v>657</v>
      </c>
      <c r="H154" s="14" t="s">
        <v>658</v>
      </c>
      <c r="I154" s="14"/>
      <c r="J154" s="14"/>
      <c r="K154" s="14"/>
      <c r="L154" s="14" t="s">
        <v>8</v>
      </c>
    </row>
    <row r="155" customFormat="false" ht="23.85" hidden="false" customHeight="false" outlineLevel="0" collapsed="false">
      <c r="A155" s="14" t="s">
        <v>659</v>
      </c>
      <c r="B155" s="14" t="s">
        <v>19</v>
      </c>
      <c r="C155" s="14" t="s">
        <v>45</v>
      </c>
      <c r="D155" s="14" t="s">
        <v>46</v>
      </c>
      <c r="E155" s="14" t="s">
        <v>47</v>
      </c>
      <c r="F155" s="14" t="s">
        <v>660</v>
      </c>
      <c r="G155" s="14" t="s">
        <v>661</v>
      </c>
      <c r="H155" s="14" t="s">
        <v>662</v>
      </c>
      <c r="I155" s="14"/>
      <c r="J155" s="14"/>
      <c r="K155" s="14"/>
      <c r="L155" s="14" t="s">
        <v>8</v>
      </c>
    </row>
    <row r="156" customFormat="false" ht="23.85" hidden="false" customHeight="false" outlineLevel="0" collapsed="false">
      <c r="A156" s="14" t="s">
        <v>663</v>
      </c>
      <c r="B156" s="14" t="s">
        <v>19</v>
      </c>
      <c r="C156" s="14" t="s">
        <v>45</v>
      </c>
      <c r="D156" s="14" t="s">
        <v>63</v>
      </c>
      <c r="E156" s="14" t="s">
        <v>58</v>
      </c>
      <c r="F156" s="14" t="s">
        <v>664</v>
      </c>
      <c r="G156" s="14" t="s">
        <v>665</v>
      </c>
      <c r="H156" s="14" t="s">
        <v>666</v>
      </c>
      <c r="I156" s="14"/>
      <c r="J156" s="14"/>
      <c r="K156" s="14"/>
      <c r="L156" s="14" t="s">
        <v>8</v>
      </c>
    </row>
    <row r="157" customFormat="false" ht="23.85" hidden="false" customHeight="false" outlineLevel="0" collapsed="false">
      <c r="A157" s="14" t="s">
        <v>667</v>
      </c>
      <c r="B157" s="14" t="s">
        <v>19</v>
      </c>
      <c r="C157" s="14" t="s">
        <v>56</v>
      </c>
      <c r="D157" s="14" t="s">
        <v>57</v>
      </c>
      <c r="E157" s="14" t="s">
        <v>58</v>
      </c>
      <c r="F157" s="14" t="s">
        <v>668</v>
      </c>
      <c r="G157" s="14" t="s">
        <v>669</v>
      </c>
      <c r="H157" s="14" t="s">
        <v>558</v>
      </c>
      <c r="I157" s="14"/>
      <c r="J157" s="14"/>
      <c r="K157" s="14"/>
      <c r="L157" s="14" t="s">
        <v>8</v>
      </c>
    </row>
    <row r="158" customFormat="false" ht="102.2" hidden="false" customHeight="false" outlineLevel="0" collapsed="false">
      <c r="A158" s="14" t="s">
        <v>670</v>
      </c>
      <c r="B158" s="14" t="s">
        <v>20</v>
      </c>
      <c r="C158" s="14" t="s">
        <v>671</v>
      </c>
      <c r="D158" s="14" t="s">
        <v>46</v>
      </c>
      <c r="E158" s="14" t="s">
        <v>47</v>
      </c>
      <c r="F158" s="14" t="s">
        <v>672</v>
      </c>
      <c r="G158" s="14" t="s">
        <v>673</v>
      </c>
      <c r="H158" s="14" t="s">
        <v>674</v>
      </c>
      <c r="I158" s="14"/>
      <c r="J158" s="14"/>
      <c r="K158" s="14"/>
      <c r="L158" s="14" t="s">
        <v>8</v>
      </c>
    </row>
    <row r="159" customFormat="false" ht="15" hidden="false" customHeight="false" outlineLevel="0" collapsed="false">
      <c r="A159" s="14" t="s">
        <v>675</v>
      </c>
      <c r="B159" s="14" t="s">
        <v>20</v>
      </c>
      <c r="C159" s="14" t="s">
        <v>671</v>
      </c>
      <c r="D159" s="14" t="s">
        <v>46</v>
      </c>
      <c r="E159" s="14" t="s">
        <v>47</v>
      </c>
      <c r="F159" s="14" t="s">
        <v>676</v>
      </c>
      <c r="G159" s="14" t="s">
        <v>677</v>
      </c>
      <c r="H159" s="14" t="s">
        <v>678</v>
      </c>
      <c r="I159" s="14"/>
      <c r="J159" s="14"/>
      <c r="K159" s="14"/>
      <c r="L159" s="14" t="s">
        <v>8</v>
      </c>
    </row>
    <row r="160" customFormat="false" ht="15" hidden="false" customHeight="false" outlineLevel="0" collapsed="false">
      <c r="A160" s="14" t="s">
        <v>679</v>
      </c>
      <c r="B160" s="14" t="s">
        <v>20</v>
      </c>
      <c r="C160" s="14" t="s">
        <v>671</v>
      </c>
      <c r="D160" s="14" t="s">
        <v>63</v>
      </c>
      <c r="E160" s="14" t="s">
        <v>58</v>
      </c>
      <c r="F160" s="14" t="s">
        <v>680</v>
      </c>
      <c r="G160" s="14" t="s">
        <v>681</v>
      </c>
      <c r="H160" s="14" t="s">
        <v>682</v>
      </c>
      <c r="I160" s="14"/>
      <c r="J160" s="14"/>
      <c r="K160" s="14"/>
      <c r="L160" s="14" t="s">
        <v>8</v>
      </c>
    </row>
    <row r="161" customFormat="false" ht="23.85" hidden="false" customHeight="false" outlineLevel="0" collapsed="false">
      <c r="A161" s="14" t="s">
        <v>683</v>
      </c>
      <c r="B161" s="14" t="s">
        <v>20</v>
      </c>
      <c r="C161" s="14" t="s">
        <v>671</v>
      </c>
      <c r="D161" s="14" t="s">
        <v>63</v>
      </c>
      <c r="E161" s="14" t="s">
        <v>58</v>
      </c>
      <c r="F161" s="14" t="s">
        <v>684</v>
      </c>
      <c r="G161" s="14" t="s">
        <v>685</v>
      </c>
      <c r="H161" s="14" t="s">
        <v>686</v>
      </c>
      <c r="I161" s="14"/>
      <c r="J161" s="14"/>
      <c r="K161" s="14"/>
      <c r="L161" s="14" t="s">
        <v>8</v>
      </c>
    </row>
    <row r="162" customFormat="false" ht="23.85" hidden="false" customHeight="false" outlineLevel="0" collapsed="false">
      <c r="A162" s="14" t="s">
        <v>687</v>
      </c>
      <c r="B162" s="14" t="s">
        <v>20</v>
      </c>
      <c r="C162" s="14" t="s">
        <v>671</v>
      </c>
      <c r="D162" s="14" t="s">
        <v>63</v>
      </c>
      <c r="E162" s="14" t="s">
        <v>58</v>
      </c>
      <c r="F162" s="14" t="s">
        <v>688</v>
      </c>
      <c r="G162" s="14" t="s">
        <v>689</v>
      </c>
      <c r="H162" s="14" t="s">
        <v>690</v>
      </c>
      <c r="I162" s="14"/>
      <c r="J162" s="14"/>
      <c r="K162" s="14"/>
      <c r="L162" s="14" t="s">
        <v>8</v>
      </c>
    </row>
    <row r="163" customFormat="false" ht="15" hidden="false" customHeight="false" outlineLevel="0" collapsed="false">
      <c r="A163" s="14" t="s">
        <v>691</v>
      </c>
      <c r="B163" s="14" t="s">
        <v>20</v>
      </c>
      <c r="C163" s="14" t="s">
        <v>671</v>
      </c>
      <c r="D163" s="14" t="s">
        <v>63</v>
      </c>
      <c r="E163" s="14" t="s">
        <v>58</v>
      </c>
      <c r="F163" s="14" t="s">
        <v>692</v>
      </c>
      <c r="G163" s="14" t="s">
        <v>693</v>
      </c>
      <c r="H163" s="14" t="s">
        <v>694</v>
      </c>
      <c r="I163" s="14"/>
      <c r="J163" s="14"/>
      <c r="K163" s="14"/>
      <c r="L163" s="14" t="s">
        <v>8</v>
      </c>
    </row>
    <row r="164" customFormat="false" ht="15" hidden="false" customHeight="false" outlineLevel="0" collapsed="false">
      <c r="A164" s="14" t="s">
        <v>695</v>
      </c>
      <c r="B164" s="14" t="s">
        <v>20</v>
      </c>
      <c r="C164" s="14" t="s">
        <v>671</v>
      </c>
      <c r="D164" s="14" t="s">
        <v>63</v>
      </c>
      <c r="E164" s="14" t="s">
        <v>58</v>
      </c>
      <c r="F164" s="14" t="s">
        <v>696</v>
      </c>
      <c r="G164" s="14" t="s">
        <v>697</v>
      </c>
      <c r="H164" s="14" t="s">
        <v>698</v>
      </c>
      <c r="I164" s="14"/>
      <c r="J164" s="14"/>
      <c r="K164" s="14"/>
      <c r="L164" s="14" t="s">
        <v>8</v>
      </c>
    </row>
    <row r="165" customFormat="false" ht="15" hidden="false" customHeight="false" outlineLevel="0" collapsed="false">
      <c r="A165" s="14" t="s">
        <v>699</v>
      </c>
      <c r="B165" s="14" t="s">
        <v>20</v>
      </c>
      <c r="C165" s="14" t="s">
        <v>671</v>
      </c>
      <c r="D165" s="14" t="s">
        <v>63</v>
      </c>
      <c r="E165" s="14" t="s">
        <v>58</v>
      </c>
      <c r="F165" s="14" t="s">
        <v>700</v>
      </c>
      <c r="G165" s="14" t="s">
        <v>701</v>
      </c>
      <c r="H165" s="14" t="s">
        <v>702</v>
      </c>
      <c r="I165" s="14"/>
      <c r="J165" s="14"/>
      <c r="K165" s="14"/>
      <c r="L165" s="14" t="s">
        <v>8</v>
      </c>
    </row>
    <row r="166" customFormat="false" ht="15" hidden="false" customHeight="false" outlineLevel="0" collapsed="false">
      <c r="A166" s="14" t="s">
        <v>703</v>
      </c>
      <c r="B166" s="14" t="s">
        <v>20</v>
      </c>
      <c r="C166" s="14" t="s">
        <v>671</v>
      </c>
      <c r="D166" s="14" t="s">
        <v>63</v>
      </c>
      <c r="E166" s="14" t="s">
        <v>58</v>
      </c>
      <c r="F166" s="14" t="s">
        <v>704</v>
      </c>
      <c r="G166" s="14" t="s">
        <v>705</v>
      </c>
      <c r="H166" s="14" t="s">
        <v>706</v>
      </c>
      <c r="I166" s="14"/>
      <c r="J166" s="14"/>
      <c r="K166" s="14"/>
      <c r="L166" s="14" t="s">
        <v>8</v>
      </c>
    </row>
    <row r="167" customFormat="false" ht="15" hidden="false" customHeight="false" outlineLevel="0" collapsed="false">
      <c r="A167" s="14" t="s">
        <v>707</v>
      </c>
      <c r="B167" s="14" t="s">
        <v>20</v>
      </c>
      <c r="C167" s="14" t="s">
        <v>671</v>
      </c>
      <c r="D167" s="14" t="s">
        <v>63</v>
      </c>
      <c r="E167" s="14" t="s">
        <v>58</v>
      </c>
      <c r="F167" s="14" t="s">
        <v>708</v>
      </c>
      <c r="G167" s="14" t="s">
        <v>709</v>
      </c>
      <c r="H167" s="14" t="s">
        <v>710</v>
      </c>
      <c r="I167" s="14"/>
      <c r="J167" s="14"/>
      <c r="K167" s="14"/>
      <c r="L167" s="14" t="s">
        <v>8</v>
      </c>
    </row>
    <row r="168" customFormat="false" ht="35.05" hidden="false" customHeight="false" outlineLevel="0" collapsed="false">
      <c r="A168" s="14" t="s">
        <v>711</v>
      </c>
      <c r="B168" s="14" t="s">
        <v>21</v>
      </c>
      <c r="C168" s="14" t="s">
        <v>45</v>
      </c>
      <c r="D168" s="14" t="s">
        <v>46</v>
      </c>
      <c r="E168" s="14" t="s">
        <v>47</v>
      </c>
      <c r="F168" s="14" t="s">
        <v>712</v>
      </c>
      <c r="G168" s="14" t="s">
        <v>713</v>
      </c>
      <c r="H168" s="14" t="s">
        <v>714</v>
      </c>
      <c r="I168" s="14"/>
      <c r="J168" s="14"/>
      <c r="K168" s="14"/>
      <c r="L168" s="14" t="s">
        <v>8</v>
      </c>
    </row>
    <row r="169" customFormat="false" ht="15" hidden="false" customHeight="false" outlineLevel="0" collapsed="false">
      <c r="A169" s="14" t="s">
        <v>715</v>
      </c>
      <c r="B169" s="14" t="s">
        <v>21</v>
      </c>
      <c r="C169" s="14" t="s">
        <v>45</v>
      </c>
      <c r="D169" s="14" t="s">
        <v>63</v>
      </c>
      <c r="E169" s="14" t="s">
        <v>58</v>
      </c>
      <c r="F169" s="14" t="s">
        <v>716</v>
      </c>
      <c r="G169" s="14" t="s">
        <v>717</v>
      </c>
      <c r="H169" s="14" t="s">
        <v>718</v>
      </c>
      <c r="I169" s="14"/>
      <c r="J169" s="14"/>
      <c r="K169" s="14"/>
      <c r="L169" s="14" t="s">
        <v>8</v>
      </c>
    </row>
    <row r="170" customFormat="false" ht="15" hidden="false" customHeight="false" outlineLevel="0" collapsed="false">
      <c r="A170" s="14" t="s">
        <v>719</v>
      </c>
      <c r="B170" s="14" t="s">
        <v>21</v>
      </c>
      <c r="C170" s="14" t="s">
        <v>45</v>
      </c>
      <c r="D170" s="14" t="s">
        <v>63</v>
      </c>
      <c r="E170" s="14" t="s">
        <v>58</v>
      </c>
      <c r="F170" s="14" t="s">
        <v>720</v>
      </c>
      <c r="G170" s="14" t="s">
        <v>721</v>
      </c>
      <c r="H170" s="14" t="s">
        <v>722</v>
      </c>
      <c r="I170" s="14"/>
      <c r="J170" s="14"/>
      <c r="K170" s="14"/>
      <c r="L170" s="14" t="s">
        <v>8</v>
      </c>
    </row>
    <row r="171" customFormat="false" ht="15" hidden="false" customHeight="false" outlineLevel="0" collapsed="false">
      <c r="A171" s="14" t="s">
        <v>723</v>
      </c>
      <c r="B171" s="14" t="s">
        <v>21</v>
      </c>
      <c r="C171" s="14" t="s">
        <v>45</v>
      </c>
      <c r="D171" s="14" t="s">
        <v>57</v>
      </c>
      <c r="E171" s="14" t="s">
        <v>58</v>
      </c>
      <c r="F171" s="14" t="s">
        <v>724</v>
      </c>
      <c r="G171" s="14" t="s">
        <v>725</v>
      </c>
      <c r="H171" s="14" t="s">
        <v>726</v>
      </c>
      <c r="I171" s="14"/>
      <c r="J171" s="14"/>
      <c r="K171" s="14"/>
      <c r="L171" s="14" t="s">
        <v>8</v>
      </c>
    </row>
    <row r="172" customFormat="false" ht="15" hidden="false" customHeight="false" outlineLevel="0" collapsed="false">
      <c r="A172" s="14" t="s">
        <v>727</v>
      </c>
      <c r="B172" s="14" t="s">
        <v>21</v>
      </c>
      <c r="C172" s="14" t="s">
        <v>45</v>
      </c>
      <c r="D172" s="14" t="s">
        <v>63</v>
      </c>
      <c r="E172" s="14" t="s">
        <v>58</v>
      </c>
      <c r="F172" s="14" t="s">
        <v>728</v>
      </c>
      <c r="G172" s="14" t="s">
        <v>729</v>
      </c>
      <c r="H172" s="14" t="s">
        <v>730</v>
      </c>
      <c r="I172" s="14"/>
      <c r="J172" s="14"/>
      <c r="K172" s="14"/>
      <c r="L172" s="14" t="s">
        <v>8</v>
      </c>
    </row>
    <row r="173" customFormat="false" ht="15" hidden="false" customHeight="false" outlineLevel="0" collapsed="false">
      <c r="A173" s="14" t="s">
        <v>731</v>
      </c>
      <c r="B173" s="14" t="s">
        <v>21</v>
      </c>
      <c r="C173" s="14" t="s">
        <v>45</v>
      </c>
      <c r="D173" s="14" t="s">
        <v>63</v>
      </c>
      <c r="E173" s="14" t="s">
        <v>58</v>
      </c>
      <c r="F173" s="14" t="s">
        <v>732</v>
      </c>
      <c r="G173" s="14" t="s">
        <v>733</v>
      </c>
      <c r="H173" s="14" t="s">
        <v>734</v>
      </c>
      <c r="I173" s="14"/>
      <c r="J173" s="14"/>
      <c r="K173" s="14"/>
      <c r="L173" s="14" t="s">
        <v>8</v>
      </c>
    </row>
    <row r="174" customFormat="false" ht="15" hidden="false" customHeight="false" outlineLevel="0" collapsed="false">
      <c r="A174" s="14" t="s">
        <v>735</v>
      </c>
      <c r="B174" s="14" t="s">
        <v>21</v>
      </c>
      <c r="C174" s="14" t="s">
        <v>45</v>
      </c>
      <c r="D174" s="14" t="s">
        <v>57</v>
      </c>
      <c r="E174" s="14" t="s">
        <v>58</v>
      </c>
      <c r="F174" s="14" t="s">
        <v>736</v>
      </c>
      <c r="G174" s="14" t="s">
        <v>737</v>
      </c>
      <c r="H174" s="14" t="s">
        <v>738</v>
      </c>
      <c r="I174" s="14"/>
      <c r="J174" s="14"/>
      <c r="K174" s="14"/>
      <c r="L174" s="14" t="s">
        <v>8</v>
      </c>
    </row>
    <row r="175" customFormat="false" ht="15" hidden="false" customHeight="false" outlineLevel="0" collapsed="false">
      <c r="A175" s="14" t="s">
        <v>739</v>
      </c>
      <c r="B175" s="14" t="s">
        <v>21</v>
      </c>
      <c r="C175" s="14" t="s">
        <v>45</v>
      </c>
      <c r="D175" s="14" t="s">
        <v>57</v>
      </c>
      <c r="E175" s="14" t="s">
        <v>58</v>
      </c>
      <c r="F175" s="14" t="s">
        <v>740</v>
      </c>
      <c r="G175" s="14" t="s">
        <v>741</v>
      </c>
      <c r="H175" s="14" t="s">
        <v>742</v>
      </c>
      <c r="I175" s="14"/>
      <c r="J175" s="14"/>
      <c r="K175" s="14"/>
      <c r="L175" s="14" t="s">
        <v>8</v>
      </c>
    </row>
    <row r="176" customFormat="false" ht="23.85" hidden="false" customHeight="false" outlineLevel="0" collapsed="false">
      <c r="A176" s="14" t="s">
        <v>743</v>
      </c>
      <c r="B176" s="14" t="s">
        <v>21</v>
      </c>
      <c r="C176" s="14" t="s">
        <v>45</v>
      </c>
      <c r="D176" s="14" t="s">
        <v>63</v>
      </c>
      <c r="E176" s="14" t="s">
        <v>58</v>
      </c>
      <c r="F176" s="14" t="s">
        <v>744</v>
      </c>
      <c r="G176" s="14" t="s">
        <v>745</v>
      </c>
      <c r="H176" s="14" t="s">
        <v>746</v>
      </c>
      <c r="I176" s="14"/>
      <c r="J176" s="14"/>
      <c r="K176" s="14"/>
      <c r="L176" s="14" t="s">
        <v>8</v>
      </c>
    </row>
    <row r="177" customFormat="false" ht="15" hidden="false" customHeight="false" outlineLevel="0" collapsed="false">
      <c r="A177" s="14" t="s">
        <v>747</v>
      </c>
      <c r="B177" s="14" t="s">
        <v>22</v>
      </c>
      <c r="C177" s="14" t="s">
        <v>141</v>
      </c>
      <c r="D177" s="14" t="s">
        <v>46</v>
      </c>
      <c r="E177" s="14" t="s">
        <v>47</v>
      </c>
      <c r="F177" s="14" t="s">
        <v>748</v>
      </c>
      <c r="G177" s="14" t="s">
        <v>749</v>
      </c>
      <c r="H177" s="14" t="s">
        <v>750</v>
      </c>
      <c r="I177" s="14"/>
      <c r="J177" s="14"/>
      <c r="K177" s="14"/>
      <c r="L177" s="14" t="s">
        <v>8</v>
      </c>
    </row>
    <row r="178" customFormat="false" ht="23.85" hidden="false" customHeight="false" outlineLevel="0" collapsed="false">
      <c r="A178" s="14" t="s">
        <v>751</v>
      </c>
      <c r="B178" s="14" t="s">
        <v>22</v>
      </c>
      <c r="C178" s="14" t="s">
        <v>141</v>
      </c>
      <c r="D178" s="14" t="s">
        <v>46</v>
      </c>
      <c r="E178" s="14" t="s">
        <v>47</v>
      </c>
      <c r="F178" s="14" t="s">
        <v>752</v>
      </c>
      <c r="G178" s="14" t="s">
        <v>753</v>
      </c>
      <c r="H178" s="14" t="s">
        <v>6</v>
      </c>
      <c r="I178" s="14"/>
      <c r="J178" s="14"/>
      <c r="K178" s="14"/>
      <c r="L178" s="14" t="s">
        <v>8</v>
      </c>
    </row>
    <row r="179" customFormat="false" ht="15" hidden="false" customHeight="false" outlineLevel="0" collapsed="false">
      <c r="A179" s="14" t="s">
        <v>754</v>
      </c>
      <c r="B179" s="14" t="s">
        <v>22</v>
      </c>
      <c r="C179" s="14" t="s">
        <v>141</v>
      </c>
      <c r="D179" s="14" t="s">
        <v>46</v>
      </c>
      <c r="E179" s="14" t="s">
        <v>47</v>
      </c>
      <c r="F179" s="14" t="s">
        <v>755</v>
      </c>
      <c r="G179" s="14" t="s">
        <v>756</v>
      </c>
      <c r="H179" s="14" t="s">
        <v>757</v>
      </c>
      <c r="I179" s="14"/>
      <c r="J179" s="14"/>
      <c r="K179" s="14"/>
      <c r="L179" s="14" t="s">
        <v>8</v>
      </c>
    </row>
    <row r="180" customFormat="false" ht="23.85" hidden="false" customHeight="false" outlineLevel="0" collapsed="false">
      <c r="A180" s="14" t="s">
        <v>758</v>
      </c>
      <c r="B180" s="14" t="s">
        <v>22</v>
      </c>
      <c r="C180" s="14" t="s">
        <v>141</v>
      </c>
      <c r="D180" s="14" t="s">
        <v>46</v>
      </c>
      <c r="E180" s="14" t="s">
        <v>47</v>
      </c>
      <c r="F180" s="14" t="s">
        <v>759</v>
      </c>
      <c r="G180" s="14" t="s">
        <v>760</v>
      </c>
      <c r="H180" s="14" t="s">
        <v>761</v>
      </c>
      <c r="I180" s="14"/>
      <c r="J180" s="14"/>
      <c r="K180" s="14"/>
      <c r="L180" s="14" t="s">
        <v>8</v>
      </c>
    </row>
    <row r="181" customFormat="false" ht="15" hidden="false" customHeight="false" outlineLevel="0" collapsed="false">
      <c r="A181" s="14" t="s">
        <v>762</v>
      </c>
      <c r="B181" s="14" t="s">
        <v>22</v>
      </c>
      <c r="C181" s="14" t="s">
        <v>141</v>
      </c>
      <c r="D181" s="14" t="s">
        <v>46</v>
      </c>
      <c r="E181" s="14" t="s">
        <v>47</v>
      </c>
      <c r="F181" s="14" t="s">
        <v>763</v>
      </c>
      <c r="G181" s="14" t="s">
        <v>764</v>
      </c>
      <c r="H181" s="14" t="s">
        <v>757</v>
      </c>
      <c r="I181" s="14"/>
      <c r="J181" s="14"/>
      <c r="K181" s="14"/>
      <c r="L181" s="14" t="s">
        <v>8</v>
      </c>
    </row>
    <row r="182" customFormat="false" ht="15" hidden="false" customHeight="false" outlineLevel="0" collapsed="false">
      <c r="A182" s="14" t="s">
        <v>765</v>
      </c>
      <c r="B182" s="14" t="s">
        <v>22</v>
      </c>
      <c r="C182" s="14" t="s">
        <v>141</v>
      </c>
      <c r="D182" s="14" t="s">
        <v>46</v>
      </c>
      <c r="E182" s="14" t="s">
        <v>47</v>
      </c>
      <c r="F182" s="14" t="s">
        <v>766</v>
      </c>
      <c r="G182" s="14" t="s">
        <v>767</v>
      </c>
      <c r="H182" s="14" t="s">
        <v>768</v>
      </c>
      <c r="I182" s="14"/>
      <c r="J182" s="14"/>
      <c r="K182" s="14"/>
      <c r="L182" s="14" t="s">
        <v>8</v>
      </c>
    </row>
    <row r="183" customFormat="false" ht="15" hidden="false" customHeight="false" outlineLevel="0" collapsed="false">
      <c r="A183" s="14" t="s">
        <v>769</v>
      </c>
      <c r="B183" s="14" t="s">
        <v>22</v>
      </c>
      <c r="C183" s="14" t="s">
        <v>141</v>
      </c>
      <c r="D183" s="14" t="s">
        <v>46</v>
      </c>
      <c r="E183" s="14" t="s">
        <v>58</v>
      </c>
      <c r="F183" s="14" t="s">
        <v>770</v>
      </c>
      <c r="G183" s="14" t="s">
        <v>771</v>
      </c>
      <c r="H183" s="14" t="s">
        <v>772</v>
      </c>
      <c r="I183" s="14"/>
      <c r="J183" s="14"/>
      <c r="K183" s="14"/>
      <c r="L183" s="14" t="s">
        <v>8</v>
      </c>
    </row>
    <row r="184" customFormat="false" ht="23.85" hidden="false" customHeight="false" outlineLevel="0" collapsed="false">
      <c r="A184" s="14" t="s">
        <v>773</v>
      </c>
      <c r="B184" s="14" t="s">
        <v>22</v>
      </c>
      <c r="C184" s="14" t="s">
        <v>141</v>
      </c>
      <c r="D184" s="14" t="s">
        <v>46</v>
      </c>
      <c r="E184" s="14" t="s">
        <v>58</v>
      </c>
      <c r="F184" s="14" t="s">
        <v>774</v>
      </c>
      <c r="G184" s="14" t="s">
        <v>775</v>
      </c>
      <c r="H184" s="14" t="s">
        <v>768</v>
      </c>
      <c r="I184" s="14"/>
      <c r="J184" s="14"/>
      <c r="K184" s="14"/>
      <c r="L184" s="14" t="s">
        <v>8</v>
      </c>
    </row>
    <row r="185" customFormat="false" ht="23.85" hidden="false" customHeight="false" outlineLevel="0" collapsed="false">
      <c r="A185" s="14" t="s">
        <v>776</v>
      </c>
      <c r="B185" s="14" t="s">
        <v>22</v>
      </c>
      <c r="C185" s="14" t="s">
        <v>141</v>
      </c>
      <c r="D185" s="14" t="s">
        <v>46</v>
      </c>
      <c r="E185" s="14" t="s">
        <v>58</v>
      </c>
      <c r="F185" s="14" t="s">
        <v>777</v>
      </c>
      <c r="G185" s="14" t="s">
        <v>778</v>
      </c>
      <c r="H185" s="14" t="s">
        <v>779</v>
      </c>
      <c r="I185" s="14"/>
      <c r="J185" s="14"/>
      <c r="K185" s="14"/>
      <c r="L185" s="14" t="s">
        <v>8</v>
      </c>
    </row>
    <row r="186" customFormat="false" ht="15" hidden="false" customHeight="false" outlineLevel="0" collapsed="false">
      <c r="A186" s="14" t="s">
        <v>780</v>
      </c>
      <c r="B186" s="14" t="s">
        <v>22</v>
      </c>
      <c r="C186" s="14" t="s">
        <v>141</v>
      </c>
      <c r="D186" s="14" t="s">
        <v>46</v>
      </c>
      <c r="E186" s="14" t="s">
        <v>58</v>
      </c>
      <c r="F186" s="14" t="s">
        <v>781</v>
      </c>
      <c r="G186" s="14" t="s">
        <v>782</v>
      </c>
      <c r="H186" s="14" t="s">
        <v>757</v>
      </c>
      <c r="I186" s="14"/>
      <c r="J186" s="14"/>
      <c r="K186" s="14"/>
      <c r="L186" s="14" t="s">
        <v>8</v>
      </c>
    </row>
    <row r="187" customFormat="false" ht="15" hidden="false" customHeight="false" outlineLevel="0" collapsed="false">
      <c r="A187" s="14" t="s">
        <v>783</v>
      </c>
      <c r="B187" s="14" t="s">
        <v>22</v>
      </c>
      <c r="C187" s="14" t="s">
        <v>141</v>
      </c>
      <c r="D187" s="14" t="s">
        <v>46</v>
      </c>
      <c r="E187" s="14" t="s">
        <v>47</v>
      </c>
      <c r="F187" s="14" t="s">
        <v>784</v>
      </c>
      <c r="G187" s="14" t="s">
        <v>785</v>
      </c>
      <c r="H187" s="14" t="s">
        <v>558</v>
      </c>
      <c r="I187" s="14"/>
      <c r="J187" s="14"/>
      <c r="K187" s="14"/>
      <c r="L187" s="14" t="s">
        <v>8</v>
      </c>
    </row>
    <row r="188" customFormat="false" ht="15" hidden="false" customHeight="false" outlineLevel="0" collapsed="false">
      <c r="A188" s="14" t="s">
        <v>786</v>
      </c>
      <c r="B188" s="14" t="s">
        <v>22</v>
      </c>
      <c r="C188" s="14" t="s">
        <v>141</v>
      </c>
      <c r="D188" s="14" t="s">
        <v>46</v>
      </c>
      <c r="E188" s="14" t="s">
        <v>47</v>
      </c>
      <c r="F188" s="14" t="s">
        <v>787</v>
      </c>
      <c r="G188" s="14" t="s">
        <v>788</v>
      </c>
      <c r="H188" s="14" t="s">
        <v>789</v>
      </c>
      <c r="I188" s="14"/>
      <c r="J188" s="14"/>
      <c r="K188" s="14"/>
      <c r="L188" s="14" t="s">
        <v>8</v>
      </c>
    </row>
    <row r="189" customFormat="false" ht="15" hidden="false" customHeight="false" outlineLevel="0" collapsed="false">
      <c r="A189" s="14" t="s">
        <v>790</v>
      </c>
      <c r="B189" s="14" t="s">
        <v>22</v>
      </c>
      <c r="C189" s="14" t="s">
        <v>141</v>
      </c>
      <c r="D189" s="14" t="s">
        <v>63</v>
      </c>
      <c r="E189" s="14" t="s">
        <v>58</v>
      </c>
      <c r="F189" s="14" t="s">
        <v>791</v>
      </c>
      <c r="G189" s="14" t="s">
        <v>792</v>
      </c>
      <c r="H189" s="14" t="s">
        <v>793</v>
      </c>
      <c r="I189" s="14"/>
      <c r="J189" s="14"/>
      <c r="K189" s="14"/>
      <c r="L189" s="14" t="s">
        <v>8</v>
      </c>
    </row>
    <row r="190" customFormat="false" ht="15" hidden="false" customHeight="false" outlineLevel="0" collapsed="false">
      <c r="A190" s="14" t="s">
        <v>794</v>
      </c>
      <c r="B190" s="14" t="s">
        <v>22</v>
      </c>
      <c r="C190" s="14" t="s">
        <v>141</v>
      </c>
      <c r="D190" s="14" t="s">
        <v>46</v>
      </c>
      <c r="E190" s="14" t="s">
        <v>47</v>
      </c>
      <c r="F190" s="14" t="s">
        <v>795</v>
      </c>
      <c r="G190" s="14" t="s">
        <v>796</v>
      </c>
      <c r="H190" s="14" t="s">
        <v>797</v>
      </c>
      <c r="I190" s="14"/>
      <c r="J190" s="14"/>
      <c r="K190" s="14"/>
      <c r="L190" s="14" t="s">
        <v>8</v>
      </c>
    </row>
    <row r="191" customFormat="false" ht="15" hidden="false" customHeight="false" outlineLevel="0" collapsed="false">
      <c r="A191" s="14" t="s">
        <v>798</v>
      </c>
      <c r="B191" s="14" t="s">
        <v>22</v>
      </c>
      <c r="C191" s="14" t="s">
        <v>141</v>
      </c>
      <c r="D191" s="14" t="s">
        <v>63</v>
      </c>
      <c r="E191" s="14" t="s">
        <v>58</v>
      </c>
      <c r="F191" s="14" t="s">
        <v>799</v>
      </c>
      <c r="G191" s="14" t="s">
        <v>800</v>
      </c>
      <c r="H191" s="14" t="s">
        <v>801</v>
      </c>
      <c r="I191" s="14"/>
      <c r="J191" s="14"/>
      <c r="K191" s="14"/>
      <c r="L191" s="14" t="s">
        <v>8</v>
      </c>
    </row>
    <row r="192" customFormat="false" ht="15" hidden="false" customHeight="false" outlineLevel="0" collapsed="false">
      <c r="A192" s="14" t="s">
        <v>802</v>
      </c>
      <c r="B192" s="14" t="s">
        <v>22</v>
      </c>
      <c r="C192" s="14" t="s">
        <v>141</v>
      </c>
      <c r="D192" s="14" t="s">
        <v>57</v>
      </c>
      <c r="E192" s="14" t="s">
        <v>58</v>
      </c>
      <c r="F192" s="14" t="s">
        <v>803</v>
      </c>
      <c r="G192" s="14" t="s">
        <v>804</v>
      </c>
      <c r="H192" s="14" t="s">
        <v>805</v>
      </c>
      <c r="I192" s="14"/>
      <c r="J192" s="14"/>
      <c r="K192" s="14"/>
      <c r="L192" s="14" t="s">
        <v>8</v>
      </c>
    </row>
    <row r="193" customFormat="false" ht="15" hidden="false" customHeight="false" outlineLevel="0" collapsed="false">
      <c r="A193" s="14" t="s">
        <v>806</v>
      </c>
      <c r="B193" s="14" t="s">
        <v>23</v>
      </c>
      <c r="C193" s="14" t="s">
        <v>625</v>
      </c>
      <c r="D193" s="14" t="s">
        <v>63</v>
      </c>
      <c r="E193" s="14" t="s">
        <v>58</v>
      </c>
      <c r="F193" s="14" t="s">
        <v>807</v>
      </c>
      <c r="G193" s="14" t="s">
        <v>808</v>
      </c>
      <c r="H193" s="14" t="s">
        <v>809</v>
      </c>
      <c r="I193" s="14"/>
      <c r="J193" s="14"/>
      <c r="K193" s="14"/>
      <c r="L193" s="14" t="s">
        <v>8</v>
      </c>
    </row>
    <row r="194" customFormat="false" ht="15" hidden="false" customHeight="false" outlineLevel="0" collapsed="false">
      <c r="A194" s="14" t="s">
        <v>810</v>
      </c>
      <c r="B194" s="14" t="s">
        <v>23</v>
      </c>
      <c r="C194" s="14" t="s">
        <v>625</v>
      </c>
      <c r="D194" s="14" t="s">
        <v>46</v>
      </c>
      <c r="E194" s="14" t="s">
        <v>58</v>
      </c>
      <c r="F194" s="14" t="s">
        <v>811</v>
      </c>
      <c r="G194" s="14" t="s">
        <v>812</v>
      </c>
      <c r="H194" s="14" t="s">
        <v>813</v>
      </c>
      <c r="I194" s="14"/>
      <c r="J194" s="14"/>
      <c r="K194" s="14"/>
      <c r="L194" s="14" t="s">
        <v>8</v>
      </c>
    </row>
    <row r="195" customFormat="false" ht="23.85" hidden="false" customHeight="false" outlineLevel="0" collapsed="false">
      <c r="A195" s="14" t="s">
        <v>814</v>
      </c>
      <c r="B195" s="14" t="s">
        <v>23</v>
      </c>
      <c r="C195" s="14" t="s">
        <v>625</v>
      </c>
      <c r="D195" s="14" t="s">
        <v>46</v>
      </c>
      <c r="E195" s="14" t="s">
        <v>58</v>
      </c>
      <c r="F195" s="14" t="s">
        <v>815</v>
      </c>
      <c r="G195" s="14" t="s">
        <v>816</v>
      </c>
      <c r="H195" s="14" t="s">
        <v>817</v>
      </c>
      <c r="I195" s="14"/>
      <c r="J195" s="14"/>
      <c r="K195" s="14"/>
      <c r="L195" s="14" t="s">
        <v>8</v>
      </c>
    </row>
    <row r="196" customFormat="false" ht="15" hidden="false" customHeight="false" outlineLevel="0" collapsed="false">
      <c r="A196" s="14" t="s">
        <v>818</v>
      </c>
      <c r="B196" s="14" t="s">
        <v>23</v>
      </c>
      <c r="C196" s="14" t="s">
        <v>625</v>
      </c>
      <c r="D196" s="14" t="s">
        <v>63</v>
      </c>
      <c r="E196" s="14" t="s">
        <v>58</v>
      </c>
      <c r="F196" s="14" t="s">
        <v>819</v>
      </c>
      <c r="G196" s="14" t="s">
        <v>820</v>
      </c>
      <c r="H196" s="14" t="s">
        <v>821</v>
      </c>
      <c r="I196" s="14"/>
      <c r="J196" s="14"/>
      <c r="K196" s="14"/>
      <c r="L196" s="14" t="s">
        <v>8</v>
      </c>
    </row>
    <row r="197" customFormat="false" ht="15" hidden="false" customHeight="false" outlineLevel="0" collapsed="false">
      <c r="A197" s="14" t="s">
        <v>822</v>
      </c>
      <c r="B197" s="14" t="s">
        <v>23</v>
      </c>
      <c r="C197" s="14" t="s">
        <v>625</v>
      </c>
      <c r="D197" s="14" t="s">
        <v>63</v>
      </c>
      <c r="E197" s="14" t="s">
        <v>58</v>
      </c>
      <c r="F197" s="14" t="s">
        <v>823</v>
      </c>
      <c r="G197" s="14" t="s">
        <v>824</v>
      </c>
      <c r="H197" s="14" t="s">
        <v>825</v>
      </c>
      <c r="I197" s="14"/>
      <c r="J197" s="14"/>
      <c r="K197" s="14"/>
      <c r="L197" s="14" t="s">
        <v>8</v>
      </c>
    </row>
    <row r="198" customFormat="false" ht="23.85" hidden="false" customHeight="false" outlineLevel="0" collapsed="false">
      <c r="A198" s="14" t="s">
        <v>826</v>
      </c>
      <c r="B198" s="14" t="s">
        <v>23</v>
      </c>
      <c r="C198" s="14" t="s">
        <v>625</v>
      </c>
      <c r="D198" s="14" t="s">
        <v>63</v>
      </c>
      <c r="E198" s="14" t="s">
        <v>58</v>
      </c>
      <c r="F198" s="14" t="s">
        <v>827</v>
      </c>
      <c r="G198" s="14" t="s">
        <v>828</v>
      </c>
      <c r="H198" s="14" t="s">
        <v>829</v>
      </c>
      <c r="I198" s="14"/>
      <c r="J198" s="14"/>
      <c r="K198" s="14"/>
      <c r="L198" s="14" t="s">
        <v>8</v>
      </c>
    </row>
    <row r="199" customFormat="false" ht="15" hidden="false" customHeight="false" outlineLevel="0" collapsed="false">
      <c r="A199" s="14" t="s">
        <v>830</v>
      </c>
      <c r="B199" s="14" t="s">
        <v>23</v>
      </c>
      <c r="C199" s="14" t="s">
        <v>625</v>
      </c>
      <c r="D199" s="14" t="s">
        <v>57</v>
      </c>
      <c r="E199" s="14" t="s">
        <v>58</v>
      </c>
      <c r="F199" s="14" t="s">
        <v>831</v>
      </c>
      <c r="G199" s="14" t="s">
        <v>832</v>
      </c>
      <c r="H199" s="14" t="s">
        <v>833</v>
      </c>
      <c r="I199" s="14"/>
      <c r="J199" s="14"/>
      <c r="K199" s="14"/>
      <c r="L199" s="14" t="s">
        <v>8</v>
      </c>
    </row>
    <row r="200" customFormat="false" ht="15" hidden="false" customHeight="false" outlineLevel="0" collapsed="false">
      <c r="A200" s="14" t="s">
        <v>834</v>
      </c>
      <c r="B200" s="14" t="s">
        <v>23</v>
      </c>
      <c r="C200" s="14" t="s">
        <v>625</v>
      </c>
      <c r="D200" s="14" t="s">
        <v>63</v>
      </c>
      <c r="E200" s="14" t="s">
        <v>58</v>
      </c>
      <c r="F200" s="14" t="s">
        <v>835</v>
      </c>
      <c r="G200" s="14" t="s">
        <v>836</v>
      </c>
      <c r="H200" s="14" t="s">
        <v>837</v>
      </c>
      <c r="I200" s="14"/>
      <c r="J200" s="14"/>
      <c r="K200" s="14"/>
      <c r="L200" s="14" t="s">
        <v>8</v>
      </c>
    </row>
    <row r="201" customFormat="false" ht="15" hidden="false" customHeight="false" outlineLevel="0" collapsed="false">
      <c r="A201" s="14" t="s">
        <v>838</v>
      </c>
      <c r="B201" s="14" t="s">
        <v>24</v>
      </c>
      <c r="C201" s="14" t="s">
        <v>625</v>
      </c>
      <c r="D201" s="14" t="s">
        <v>63</v>
      </c>
      <c r="E201" s="14" t="s">
        <v>58</v>
      </c>
      <c r="F201" s="14" t="s">
        <v>839</v>
      </c>
      <c r="G201" s="14" t="s">
        <v>840</v>
      </c>
      <c r="H201" s="14" t="s">
        <v>841</v>
      </c>
      <c r="I201" s="14"/>
      <c r="J201" s="14"/>
      <c r="K201" s="14"/>
      <c r="L201" s="14" t="s">
        <v>8</v>
      </c>
    </row>
    <row r="202" customFormat="false" ht="15" hidden="false" customHeight="false" outlineLevel="0" collapsed="false">
      <c r="A202" s="14" t="s">
        <v>842</v>
      </c>
      <c r="B202" s="14" t="s">
        <v>24</v>
      </c>
      <c r="C202" s="14" t="s">
        <v>625</v>
      </c>
      <c r="D202" s="14" t="s">
        <v>63</v>
      </c>
      <c r="E202" s="14" t="s">
        <v>58</v>
      </c>
      <c r="F202" s="14" t="s">
        <v>843</v>
      </c>
      <c r="G202" s="14" t="s">
        <v>844</v>
      </c>
      <c r="H202" s="14" t="s">
        <v>845</v>
      </c>
      <c r="I202" s="14"/>
      <c r="J202" s="14"/>
      <c r="K202" s="14"/>
      <c r="L202" s="14" t="s">
        <v>8</v>
      </c>
    </row>
    <row r="203" customFormat="false" ht="15" hidden="false" customHeight="false" outlineLevel="0" collapsed="false">
      <c r="A203" s="14" t="s">
        <v>846</v>
      </c>
      <c r="B203" s="14" t="s">
        <v>24</v>
      </c>
      <c r="C203" s="14" t="s">
        <v>625</v>
      </c>
      <c r="D203" s="14" t="s">
        <v>63</v>
      </c>
      <c r="E203" s="14" t="s">
        <v>58</v>
      </c>
      <c r="F203" s="14" t="s">
        <v>847</v>
      </c>
      <c r="G203" s="14" t="s">
        <v>848</v>
      </c>
      <c r="H203" s="14" t="s">
        <v>849</v>
      </c>
      <c r="I203" s="14"/>
      <c r="J203" s="14"/>
      <c r="K203" s="14"/>
      <c r="L203" s="14" t="s">
        <v>8</v>
      </c>
    </row>
    <row r="204" customFormat="false" ht="15" hidden="false" customHeight="false" outlineLevel="0" collapsed="false">
      <c r="A204" s="14" t="s">
        <v>850</v>
      </c>
      <c r="B204" s="14" t="s">
        <v>24</v>
      </c>
      <c r="C204" s="14" t="s">
        <v>625</v>
      </c>
      <c r="D204" s="14" t="s">
        <v>57</v>
      </c>
      <c r="E204" s="14" t="s">
        <v>58</v>
      </c>
      <c r="F204" s="14" t="s">
        <v>851</v>
      </c>
      <c r="G204" s="14" t="s">
        <v>852</v>
      </c>
      <c r="H204" s="14" t="s">
        <v>853</v>
      </c>
      <c r="I204" s="14"/>
      <c r="J204" s="14"/>
      <c r="K204" s="14"/>
      <c r="L204" s="14" t="s">
        <v>8</v>
      </c>
    </row>
    <row r="205" customFormat="false" ht="15" hidden="false" customHeight="false" outlineLevel="0" collapsed="false">
      <c r="A205" s="14" t="s">
        <v>854</v>
      </c>
      <c r="B205" s="14" t="s">
        <v>24</v>
      </c>
      <c r="C205" s="14" t="s">
        <v>625</v>
      </c>
      <c r="D205" s="14" t="s">
        <v>63</v>
      </c>
      <c r="E205" s="14" t="s">
        <v>58</v>
      </c>
      <c r="F205" s="14" t="s">
        <v>855</v>
      </c>
      <c r="G205" s="14" t="s">
        <v>856</v>
      </c>
      <c r="H205" s="14" t="s">
        <v>857</v>
      </c>
      <c r="I205" s="14"/>
      <c r="J205" s="14"/>
      <c r="K205" s="14"/>
      <c r="L205" s="14" t="s">
        <v>8</v>
      </c>
    </row>
    <row r="206" customFormat="false" ht="15" hidden="false" customHeight="false" outlineLevel="0" collapsed="false">
      <c r="A206" s="14" t="s">
        <v>858</v>
      </c>
      <c r="B206" s="14" t="s">
        <v>24</v>
      </c>
      <c r="C206" s="14" t="s">
        <v>625</v>
      </c>
      <c r="D206" s="14" t="s">
        <v>63</v>
      </c>
      <c r="E206" s="14" t="s">
        <v>58</v>
      </c>
      <c r="F206" s="14" t="s">
        <v>859</v>
      </c>
      <c r="G206" s="14" t="s">
        <v>860</v>
      </c>
      <c r="H206" s="14" t="s">
        <v>861</v>
      </c>
      <c r="I206" s="14"/>
      <c r="J206" s="14"/>
      <c r="K206" s="14"/>
      <c r="L206" s="14" t="s">
        <v>8</v>
      </c>
    </row>
    <row r="207" customFormat="false" ht="15" hidden="false" customHeight="false" outlineLevel="0" collapsed="false">
      <c r="A207" s="14" t="s">
        <v>862</v>
      </c>
      <c r="B207" s="14" t="s">
        <v>25</v>
      </c>
      <c r="C207" s="14" t="s">
        <v>45</v>
      </c>
      <c r="D207" s="14" t="s">
        <v>46</v>
      </c>
      <c r="E207" s="14" t="s">
        <v>47</v>
      </c>
      <c r="F207" s="14" t="s">
        <v>863</v>
      </c>
      <c r="G207" s="14" t="s">
        <v>864</v>
      </c>
      <c r="H207" s="14" t="s">
        <v>865</v>
      </c>
      <c r="I207" s="14"/>
      <c r="J207" s="14"/>
      <c r="K207" s="14"/>
      <c r="L207" s="14" t="s">
        <v>8</v>
      </c>
    </row>
    <row r="208" customFormat="false" ht="15" hidden="false" customHeight="false" outlineLevel="0" collapsed="false">
      <c r="A208" s="14" t="s">
        <v>866</v>
      </c>
      <c r="B208" s="14" t="s">
        <v>25</v>
      </c>
      <c r="C208" s="14" t="s">
        <v>45</v>
      </c>
      <c r="D208" s="14" t="s">
        <v>46</v>
      </c>
      <c r="E208" s="14" t="s">
        <v>47</v>
      </c>
      <c r="F208" s="14" t="s">
        <v>867</v>
      </c>
      <c r="G208" s="14" t="s">
        <v>868</v>
      </c>
      <c r="H208" s="14" t="s">
        <v>869</v>
      </c>
      <c r="I208" s="14"/>
      <c r="J208" s="14"/>
      <c r="K208" s="14"/>
      <c r="L208" s="14" t="s">
        <v>8</v>
      </c>
    </row>
    <row r="209" customFormat="false" ht="23.85" hidden="false" customHeight="false" outlineLevel="0" collapsed="false">
      <c r="A209" s="14" t="s">
        <v>870</v>
      </c>
      <c r="B209" s="14" t="s">
        <v>25</v>
      </c>
      <c r="C209" s="14" t="s">
        <v>45</v>
      </c>
      <c r="D209" s="14" t="s">
        <v>46</v>
      </c>
      <c r="E209" s="14" t="s">
        <v>47</v>
      </c>
      <c r="F209" s="14" t="s">
        <v>871</v>
      </c>
      <c r="G209" s="14" t="s">
        <v>872</v>
      </c>
      <c r="H209" s="14" t="s">
        <v>873</v>
      </c>
      <c r="I209" s="14"/>
      <c r="J209" s="14"/>
      <c r="K209" s="14"/>
      <c r="L209" s="14" t="s">
        <v>8</v>
      </c>
    </row>
    <row r="210" customFormat="false" ht="15" hidden="false" customHeight="false" outlineLevel="0" collapsed="false">
      <c r="A210" s="14" t="s">
        <v>874</v>
      </c>
      <c r="B210" s="14" t="s">
        <v>25</v>
      </c>
      <c r="C210" s="14" t="s">
        <v>45</v>
      </c>
      <c r="D210" s="14" t="s">
        <v>46</v>
      </c>
      <c r="E210" s="14" t="s">
        <v>47</v>
      </c>
      <c r="F210" s="14" t="s">
        <v>875</v>
      </c>
      <c r="G210" s="14" t="s">
        <v>876</v>
      </c>
      <c r="H210" s="14" t="s">
        <v>877</v>
      </c>
      <c r="I210" s="14"/>
      <c r="J210" s="14"/>
      <c r="K210" s="14"/>
      <c r="L210" s="14" t="s">
        <v>8</v>
      </c>
    </row>
    <row r="211" customFormat="false" ht="15" hidden="false" customHeight="false" outlineLevel="0" collapsed="false">
      <c r="A211" s="14" t="s">
        <v>878</v>
      </c>
      <c r="B211" s="14" t="s">
        <v>25</v>
      </c>
      <c r="C211" s="14" t="s">
        <v>45</v>
      </c>
      <c r="D211" s="14" t="s">
        <v>46</v>
      </c>
      <c r="E211" s="14" t="s">
        <v>47</v>
      </c>
      <c r="F211" s="14" t="s">
        <v>879</v>
      </c>
      <c r="G211" s="14" t="s">
        <v>880</v>
      </c>
      <c r="H211" s="14" t="s">
        <v>881</v>
      </c>
      <c r="I211" s="14"/>
      <c r="J211" s="14"/>
      <c r="K211" s="14"/>
      <c r="L211" s="14" t="s">
        <v>8</v>
      </c>
    </row>
    <row r="212" customFormat="false" ht="23.85" hidden="false" customHeight="false" outlineLevel="0" collapsed="false">
      <c r="A212" s="14" t="s">
        <v>882</v>
      </c>
      <c r="B212" s="14" t="s">
        <v>25</v>
      </c>
      <c r="C212" s="14" t="s">
        <v>45</v>
      </c>
      <c r="D212" s="14" t="s">
        <v>46</v>
      </c>
      <c r="E212" s="14" t="s">
        <v>47</v>
      </c>
      <c r="F212" s="14" t="s">
        <v>883</v>
      </c>
      <c r="G212" s="14" t="s">
        <v>884</v>
      </c>
      <c r="H212" s="14" t="s">
        <v>885</v>
      </c>
      <c r="I212" s="14"/>
      <c r="J212" s="14"/>
      <c r="K212" s="14"/>
      <c r="L212" s="14" t="s">
        <v>8</v>
      </c>
    </row>
    <row r="213" customFormat="false" ht="15" hidden="false" customHeight="false" outlineLevel="0" collapsed="false">
      <c r="A213" s="14" t="s">
        <v>886</v>
      </c>
      <c r="B213" s="14" t="s">
        <v>25</v>
      </c>
      <c r="C213" s="14" t="s">
        <v>45</v>
      </c>
      <c r="D213" s="14" t="s">
        <v>46</v>
      </c>
      <c r="E213" s="14" t="s">
        <v>47</v>
      </c>
      <c r="F213" s="14" t="s">
        <v>887</v>
      </c>
      <c r="G213" s="14" t="s">
        <v>888</v>
      </c>
      <c r="H213" s="14" t="s">
        <v>889</v>
      </c>
      <c r="I213" s="14"/>
      <c r="J213" s="14"/>
      <c r="K213" s="14"/>
      <c r="L213" s="14" t="s">
        <v>8</v>
      </c>
    </row>
    <row r="214" customFormat="false" ht="15" hidden="false" customHeight="false" outlineLevel="0" collapsed="false">
      <c r="A214" s="14" t="s">
        <v>890</v>
      </c>
      <c r="B214" s="14" t="s">
        <v>25</v>
      </c>
      <c r="C214" s="14" t="s">
        <v>45</v>
      </c>
      <c r="D214" s="14" t="s">
        <v>63</v>
      </c>
      <c r="E214" s="14" t="s">
        <v>58</v>
      </c>
      <c r="F214" s="14" t="s">
        <v>891</v>
      </c>
      <c r="G214" s="14" t="s">
        <v>892</v>
      </c>
      <c r="H214" s="14" t="s">
        <v>893</v>
      </c>
      <c r="I214" s="14"/>
      <c r="J214" s="14"/>
      <c r="K214" s="14"/>
      <c r="L214" s="14" t="s">
        <v>8</v>
      </c>
    </row>
    <row r="215" customFormat="false" ht="23.85" hidden="false" customHeight="false" outlineLevel="0" collapsed="false">
      <c r="A215" s="14" t="s">
        <v>894</v>
      </c>
      <c r="B215" s="14" t="s">
        <v>25</v>
      </c>
      <c r="C215" s="14" t="s">
        <v>45</v>
      </c>
      <c r="D215" s="14" t="s">
        <v>46</v>
      </c>
      <c r="E215" s="14" t="s">
        <v>47</v>
      </c>
      <c r="F215" s="14" t="s">
        <v>895</v>
      </c>
      <c r="G215" s="14" t="s">
        <v>896</v>
      </c>
      <c r="H215" s="14" t="s">
        <v>897</v>
      </c>
      <c r="I215" s="14"/>
      <c r="J215" s="14"/>
      <c r="K215" s="14"/>
      <c r="L215" s="14" t="s">
        <v>8</v>
      </c>
    </row>
    <row r="216" customFormat="false" ht="15" hidden="false" customHeight="false" outlineLevel="0" collapsed="false">
      <c r="A216" s="14" t="s">
        <v>898</v>
      </c>
      <c r="B216" s="14" t="s">
        <v>25</v>
      </c>
      <c r="C216" s="14" t="s">
        <v>45</v>
      </c>
      <c r="D216" s="14" t="s">
        <v>63</v>
      </c>
      <c r="E216" s="14" t="s">
        <v>58</v>
      </c>
      <c r="F216" s="14" t="s">
        <v>899</v>
      </c>
      <c r="G216" s="14" t="s">
        <v>900</v>
      </c>
      <c r="H216" s="14" t="s">
        <v>901</v>
      </c>
      <c r="I216" s="14"/>
      <c r="J216" s="14"/>
      <c r="K216" s="14"/>
      <c r="L216" s="14" t="s">
        <v>8</v>
      </c>
    </row>
    <row r="217" customFormat="false" ht="15" hidden="false" customHeight="false" outlineLevel="0" collapsed="false">
      <c r="A217" s="14" t="s">
        <v>902</v>
      </c>
      <c r="B217" s="14" t="s">
        <v>25</v>
      </c>
      <c r="C217" s="14" t="s">
        <v>45</v>
      </c>
      <c r="D217" s="14" t="s">
        <v>63</v>
      </c>
      <c r="E217" s="14" t="s">
        <v>58</v>
      </c>
      <c r="F217" s="14" t="s">
        <v>903</v>
      </c>
      <c r="G217" s="14" t="s">
        <v>904</v>
      </c>
      <c r="H217" s="14" t="s">
        <v>905</v>
      </c>
      <c r="I217" s="14"/>
      <c r="J217" s="14"/>
      <c r="K217" s="14"/>
      <c r="L217" s="14" t="s">
        <v>8</v>
      </c>
    </row>
    <row r="218" customFormat="false" ht="15" hidden="false" customHeight="false" outlineLevel="0" collapsed="false">
      <c r="A218" s="14" t="s">
        <v>906</v>
      </c>
      <c r="B218" s="14" t="s">
        <v>25</v>
      </c>
      <c r="C218" s="14" t="s">
        <v>45</v>
      </c>
      <c r="D218" s="14" t="s">
        <v>63</v>
      </c>
      <c r="E218" s="14" t="s">
        <v>58</v>
      </c>
      <c r="F218" s="14" t="s">
        <v>907</v>
      </c>
      <c r="G218" s="14" t="s">
        <v>908</v>
      </c>
      <c r="H218" s="14" t="s">
        <v>909</v>
      </c>
      <c r="I218" s="14"/>
      <c r="J218" s="14"/>
      <c r="K218" s="14"/>
      <c r="L218" s="14" t="s">
        <v>8</v>
      </c>
    </row>
    <row r="219" customFormat="false" ht="23.85" hidden="false" customHeight="false" outlineLevel="0" collapsed="false">
      <c r="A219" s="14" t="s">
        <v>910</v>
      </c>
      <c r="B219" s="14" t="s">
        <v>26</v>
      </c>
      <c r="C219" s="14" t="s">
        <v>45</v>
      </c>
      <c r="D219" s="14" t="s">
        <v>46</v>
      </c>
      <c r="E219" s="14" t="s">
        <v>47</v>
      </c>
      <c r="F219" s="14" t="s">
        <v>911</v>
      </c>
      <c r="G219" s="14" t="s">
        <v>912</v>
      </c>
      <c r="H219" s="14" t="s">
        <v>913</v>
      </c>
      <c r="I219" s="14"/>
      <c r="J219" s="14"/>
      <c r="K219" s="14"/>
      <c r="L219" s="14" t="s">
        <v>8</v>
      </c>
    </row>
    <row r="220" customFormat="false" ht="46.25" hidden="false" customHeight="false" outlineLevel="0" collapsed="false">
      <c r="A220" s="14" t="s">
        <v>914</v>
      </c>
      <c r="B220" s="14" t="s">
        <v>26</v>
      </c>
      <c r="C220" s="14" t="s">
        <v>45</v>
      </c>
      <c r="D220" s="14" t="s">
        <v>46</v>
      </c>
      <c r="E220" s="14" t="s">
        <v>47</v>
      </c>
      <c r="F220" s="14" t="s">
        <v>915</v>
      </c>
      <c r="G220" s="14" t="s">
        <v>916</v>
      </c>
      <c r="H220" s="14" t="s">
        <v>917</v>
      </c>
      <c r="I220" s="14"/>
      <c r="J220" s="14"/>
      <c r="K220" s="14"/>
      <c r="L220" s="14" t="s">
        <v>8</v>
      </c>
    </row>
    <row r="221" customFormat="false" ht="23.85" hidden="false" customHeight="false" outlineLevel="0" collapsed="false">
      <c r="A221" s="14" t="s">
        <v>918</v>
      </c>
      <c r="B221" s="14" t="s">
        <v>26</v>
      </c>
      <c r="C221" s="14" t="s">
        <v>45</v>
      </c>
      <c r="D221" s="14" t="s">
        <v>46</v>
      </c>
      <c r="E221" s="14" t="s">
        <v>47</v>
      </c>
      <c r="F221" s="14" t="s">
        <v>919</v>
      </c>
      <c r="G221" s="14" t="s">
        <v>920</v>
      </c>
      <c r="H221" s="14" t="s">
        <v>921</v>
      </c>
      <c r="I221" s="14"/>
      <c r="J221" s="14"/>
      <c r="K221" s="14"/>
      <c r="L221" s="14" t="s">
        <v>8</v>
      </c>
    </row>
    <row r="222" customFormat="false" ht="15" hidden="false" customHeight="false" outlineLevel="0" collapsed="false">
      <c r="A222" s="14" t="s">
        <v>922</v>
      </c>
      <c r="B222" s="14" t="s">
        <v>26</v>
      </c>
      <c r="C222" s="14" t="s">
        <v>45</v>
      </c>
      <c r="D222" s="14" t="s">
        <v>63</v>
      </c>
      <c r="E222" s="14" t="s">
        <v>58</v>
      </c>
      <c r="F222" s="14" t="s">
        <v>923</v>
      </c>
      <c r="G222" s="14" t="s">
        <v>924</v>
      </c>
      <c r="H222" s="14" t="s">
        <v>925</v>
      </c>
      <c r="I222" s="14"/>
      <c r="J222" s="14"/>
      <c r="K222" s="14"/>
      <c r="L222" s="14" t="s">
        <v>8</v>
      </c>
    </row>
    <row r="223" customFormat="false" ht="23.85" hidden="false" customHeight="false" outlineLevel="0" collapsed="false">
      <c r="A223" s="14" t="s">
        <v>926</v>
      </c>
      <c r="B223" s="14" t="s">
        <v>26</v>
      </c>
      <c r="C223" s="14" t="s">
        <v>45</v>
      </c>
      <c r="D223" s="14" t="s">
        <v>63</v>
      </c>
      <c r="E223" s="14" t="s">
        <v>58</v>
      </c>
      <c r="F223" s="14" t="s">
        <v>927</v>
      </c>
      <c r="G223" s="14" t="s">
        <v>928</v>
      </c>
      <c r="H223" s="14" t="s">
        <v>929</v>
      </c>
      <c r="I223" s="14"/>
      <c r="J223" s="14"/>
      <c r="K223" s="14"/>
      <c r="L223" s="14" t="s">
        <v>8</v>
      </c>
    </row>
    <row r="224" customFormat="false" ht="15" hidden="false" customHeight="false" outlineLevel="0" collapsed="false">
      <c r="A224" s="14" t="s">
        <v>930</v>
      </c>
      <c r="B224" s="14" t="s">
        <v>26</v>
      </c>
      <c r="C224" s="14" t="s">
        <v>141</v>
      </c>
      <c r="D224" s="14" t="s">
        <v>63</v>
      </c>
      <c r="E224" s="14" t="s">
        <v>58</v>
      </c>
      <c r="F224" s="14" t="s">
        <v>931</v>
      </c>
      <c r="G224" s="14" t="s">
        <v>932</v>
      </c>
      <c r="H224" s="14" t="s">
        <v>933</v>
      </c>
      <c r="I224" s="14"/>
      <c r="J224" s="14"/>
      <c r="K224" s="14"/>
      <c r="L224" s="14" t="s">
        <v>8</v>
      </c>
    </row>
    <row r="225" customFormat="false" ht="15" hidden="false" customHeight="false" outlineLevel="0" collapsed="false">
      <c r="A225" s="14" t="s">
        <v>934</v>
      </c>
      <c r="B225" s="14" t="s">
        <v>26</v>
      </c>
      <c r="C225" s="14" t="s">
        <v>141</v>
      </c>
      <c r="D225" s="14" t="s">
        <v>63</v>
      </c>
      <c r="E225" s="14" t="s">
        <v>58</v>
      </c>
      <c r="F225" s="14" t="s">
        <v>935</v>
      </c>
      <c r="G225" s="14" t="s">
        <v>936</v>
      </c>
      <c r="H225" s="14" t="s">
        <v>937</v>
      </c>
      <c r="I225" s="14"/>
      <c r="J225" s="14"/>
      <c r="K225" s="14"/>
      <c r="L225" s="14" t="s">
        <v>8</v>
      </c>
    </row>
    <row r="226" customFormat="false" ht="35.05" hidden="false" customHeight="false" outlineLevel="0" collapsed="false">
      <c r="A226" s="14" t="s">
        <v>938</v>
      </c>
      <c r="B226" s="14" t="s">
        <v>26</v>
      </c>
      <c r="C226" s="14" t="s">
        <v>45</v>
      </c>
      <c r="D226" s="14" t="s">
        <v>46</v>
      </c>
      <c r="E226" s="14" t="s">
        <v>47</v>
      </c>
      <c r="F226" s="14" t="s">
        <v>939</v>
      </c>
      <c r="G226" s="14" t="s">
        <v>940</v>
      </c>
      <c r="H226" s="14" t="s">
        <v>941</v>
      </c>
      <c r="I226" s="14"/>
      <c r="J226" s="14"/>
      <c r="K226" s="14"/>
      <c r="L226" s="14" t="s">
        <v>8</v>
      </c>
    </row>
    <row r="227" customFormat="false" ht="23.85" hidden="false" customHeight="false" outlineLevel="0" collapsed="false">
      <c r="A227" s="14" t="s">
        <v>942</v>
      </c>
      <c r="B227" s="14" t="s">
        <v>26</v>
      </c>
      <c r="C227" s="14" t="s">
        <v>45</v>
      </c>
      <c r="D227" s="14" t="s">
        <v>46</v>
      </c>
      <c r="E227" s="14" t="s">
        <v>47</v>
      </c>
      <c r="F227" s="14" t="s">
        <v>943</v>
      </c>
      <c r="G227" s="14" t="s">
        <v>944</v>
      </c>
      <c r="H227" s="14" t="s">
        <v>945</v>
      </c>
      <c r="I227" s="14"/>
      <c r="J227" s="14"/>
      <c r="K227" s="14"/>
      <c r="L227" s="14" t="s">
        <v>8</v>
      </c>
    </row>
    <row r="228" customFormat="false" ht="23.85" hidden="false" customHeight="false" outlineLevel="0" collapsed="false">
      <c r="A228" s="14" t="s">
        <v>946</v>
      </c>
      <c r="B228" s="14" t="s">
        <v>26</v>
      </c>
      <c r="C228" s="14" t="s">
        <v>45</v>
      </c>
      <c r="D228" s="14" t="s">
        <v>46</v>
      </c>
      <c r="E228" s="14" t="s">
        <v>47</v>
      </c>
      <c r="F228" s="14" t="s">
        <v>947</v>
      </c>
      <c r="G228" s="14" t="s">
        <v>948</v>
      </c>
      <c r="H228" s="14" t="s">
        <v>949</v>
      </c>
      <c r="I228" s="14"/>
      <c r="J228" s="14"/>
      <c r="K228" s="14"/>
      <c r="L228" s="14" t="s">
        <v>8</v>
      </c>
    </row>
    <row r="229" customFormat="false" ht="23.85" hidden="false" customHeight="false" outlineLevel="0" collapsed="false">
      <c r="A229" s="14" t="s">
        <v>950</v>
      </c>
      <c r="B229" s="14" t="s">
        <v>26</v>
      </c>
      <c r="C229" s="14" t="s">
        <v>45</v>
      </c>
      <c r="D229" s="14" t="s">
        <v>46</v>
      </c>
      <c r="E229" s="14" t="s">
        <v>47</v>
      </c>
      <c r="F229" s="14" t="s">
        <v>951</v>
      </c>
      <c r="G229" s="14" t="s">
        <v>952</v>
      </c>
      <c r="H229" s="14" t="s">
        <v>953</v>
      </c>
      <c r="I229" s="14"/>
      <c r="J229" s="14"/>
      <c r="K229" s="14"/>
      <c r="L229" s="14" t="s">
        <v>8</v>
      </c>
    </row>
    <row r="230" customFormat="false" ht="23.85" hidden="false" customHeight="false" outlineLevel="0" collapsed="false">
      <c r="A230" s="14" t="s">
        <v>954</v>
      </c>
      <c r="B230" s="14" t="s">
        <v>26</v>
      </c>
      <c r="C230" s="14" t="s">
        <v>45</v>
      </c>
      <c r="D230" s="14" t="s">
        <v>46</v>
      </c>
      <c r="E230" s="14" t="s">
        <v>47</v>
      </c>
      <c r="F230" s="14" t="s">
        <v>955</v>
      </c>
      <c r="G230" s="14" t="s">
        <v>956</v>
      </c>
      <c r="H230" s="14" t="s">
        <v>957</v>
      </c>
      <c r="I230" s="14"/>
      <c r="J230" s="14"/>
      <c r="K230" s="14"/>
      <c r="L230" s="14" t="s">
        <v>8</v>
      </c>
    </row>
    <row r="231" customFormat="false" ht="23.85" hidden="false" customHeight="false" outlineLevel="0" collapsed="false">
      <c r="A231" s="14" t="s">
        <v>958</v>
      </c>
      <c r="B231" s="14" t="s">
        <v>26</v>
      </c>
      <c r="C231" s="14" t="s">
        <v>45</v>
      </c>
      <c r="D231" s="14" t="s">
        <v>63</v>
      </c>
      <c r="E231" s="14" t="s">
        <v>58</v>
      </c>
      <c r="F231" s="14" t="s">
        <v>959</v>
      </c>
      <c r="G231" s="14" t="s">
        <v>960</v>
      </c>
      <c r="H231" s="14" t="s">
        <v>961</v>
      </c>
      <c r="I231" s="14"/>
      <c r="J231" s="14"/>
      <c r="K231" s="14"/>
      <c r="L231" s="14" t="s">
        <v>8</v>
      </c>
    </row>
    <row r="232" customFormat="false" ht="23.85" hidden="false" customHeight="false" outlineLevel="0" collapsed="false">
      <c r="A232" s="14" t="s">
        <v>962</v>
      </c>
      <c r="B232" s="14" t="s">
        <v>26</v>
      </c>
      <c r="C232" s="14" t="s">
        <v>45</v>
      </c>
      <c r="D232" s="14" t="s">
        <v>46</v>
      </c>
      <c r="E232" s="14" t="s">
        <v>47</v>
      </c>
      <c r="F232" s="14" t="s">
        <v>963</v>
      </c>
      <c r="G232" s="14" t="s">
        <v>964</v>
      </c>
      <c r="H232" s="14" t="s">
        <v>965</v>
      </c>
      <c r="I232" s="14"/>
      <c r="J232" s="14"/>
      <c r="K232" s="14"/>
      <c r="L232" s="14" t="s">
        <v>8</v>
      </c>
    </row>
    <row r="233" customFormat="false" ht="23.85" hidden="false" customHeight="false" outlineLevel="0" collapsed="false">
      <c r="A233" s="14" t="s">
        <v>966</v>
      </c>
      <c r="B233" s="14" t="s">
        <v>26</v>
      </c>
      <c r="C233" s="14" t="s">
        <v>45</v>
      </c>
      <c r="D233" s="14" t="s">
        <v>63</v>
      </c>
      <c r="E233" s="14" t="s">
        <v>58</v>
      </c>
      <c r="F233" s="14" t="s">
        <v>967</v>
      </c>
      <c r="G233" s="14" t="s">
        <v>968</v>
      </c>
      <c r="H233" s="14" t="s">
        <v>969</v>
      </c>
      <c r="I233" s="14"/>
      <c r="J233" s="14"/>
      <c r="K233" s="14"/>
      <c r="L233" s="14" t="s">
        <v>8</v>
      </c>
    </row>
    <row r="234" customFormat="false" ht="15" hidden="false" customHeight="false" outlineLevel="0" collapsed="false">
      <c r="A234" s="14" t="s">
        <v>970</v>
      </c>
      <c r="B234" s="14" t="s">
        <v>26</v>
      </c>
      <c r="C234" s="14" t="s">
        <v>45</v>
      </c>
      <c r="D234" s="14" t="s">
        <v>63</v>
      </c>
      <c r="E234" s="14" t="s">
        <v>58</v>
      </c>
      <c r="F234" s="14" t="s">
        <v>971</v>
      </c>
      <c r="G234" s="14" t="s">
        <v>972</v>
      </c>
      <c r="H234" s="14" t="s">
        <v>973</v>
      </c>
      <c r="I234" s="14"/>
      <c r="J234" s="14"/>
      <c r="K234" s="14"/>
      <c r="L234" s="14" t="s">
        <v>8</v>
      </c>
    </row>
    <row r="235" customFormat="false" ht="23.85" hidden="false" customHeight="false" outlineLevel="0" collapsed="false">
      <c r="A235" s="14" t="s">
        <v>974</v>
      </c>
      <c r="B235" s="14" t="s">
        <v>26</v>
      </c>
      <c r="C235" s="14" t="s">
        <v>45</v>
      </c>
      <c r="D235" s="14" t="s">
        <v>63</v>
      </c>
      <c r="E235" s="14" t="s">
        <v>58</v>
      </c>
      <c r="F235" s="14" t="s">
        <v>975</v>
      </c>
      <c r="G235" s="14" t="s">
        <v>976</v>
      </c>
      <c r="H235" s="14" t="s">
        <v>977</v>
      </c>
      <c r="I235" s="14"/>
      <c r="J235" s="14"/>
      <c r="K235" s="14"/>
      <c r="L235" s="14" t="s">
        <v>8</v>
      </c>
    </row>
    <row r="236" customFormat="false" ht="15" hidden="false" customHeight="false" outlineLevel="0" collapsed="false">
      <c r="A236" s="14" t="s">
        <v>978</v>
      </c>
      <c r="B236" s="14" t="s">
        <v>26</v>
      </c>
      <c r="C236" s="14" t="s">
        <v>45</v>
      </c>
      <c r="D236" s="14" t="s">
        <v>46</v>
      </c>
      <c r="E236" s="14" t="s">
        <v>47</v>
      </c>
      <c r="F236" s="14" t="s">
        <v>979</v>
      </c>
      <c r="G236" s="14" t="s">
        <v>980</v>
      </c>
      <c r="H236" s="14" t="s">
        <v>981</v>
      </c>
      <c r="I236" s="14"/>
      <c r="J236" s="14"/>
      <c r="K236" s="14"/>
      <c r="L236" s="14" t="s">
        <v>8</v>
      </c>
    </row>
    <row r="237" customFormat="false" ht="35.05" hidden="false" customHeight="false" outlineLevel="0" collapsed="false">
      <c r="A237" s="14" t="s">
        <v>982</v>
      </c>
      <c r="B237" s="14" t="s">
        <v>26</v>
      </c>
      <c r="C237" s="14" t="s">
        <v>45</v>
      </c>
      <c r="D237" s="14" t="s">
        <v>46</v>
      </c>
      <c r="E237" s="14" t="s">
        <v>47</v>
      </c>
      <c r="F237" s="14" t="s">
        <v>983</v>
      </c>
      <c r="G237" s="14" t="s">
        <v>984</v>
      </c>
      <c r="H237" s="14" t="s">
        <v>985</v>
      </c>
      <c r="I237" s="14"/>
      <c r="J237" s="14"/>
      <c r="K237" s="14"/>
      <c r="L237" s="14" t="s">
        <v>8</v>
      </c>
    </row>
    <row r="238" customFormat="false" ht="23.85" hidden="false" customHeight="false" outlineLevel="0" collapsed="false">
      <c r="A238" s="14" t="s">
        <v>986</v>
      </c>
      <c r="B238" s="14" t="s">
        <v>26</v>
      </c>
      <c r="C238" s="14" t="s">
        <v>45</v>
      </c>
      <c r="D238" s="14" t="s">
        <v>46</v>
      </c>
      <c r="E238" s="14" t="s">
        <v>47</v>
      </c>
      <c r="F238" s="14" t="s">
        <v>987</v>
      </c>
      <c r="G238" s="14" t="s">
        <v>988</v>
      </c>
      <c r="H238" s="14" t="s">
        <v>989</v>
      </c>
      <c r="I238" s="14"/>
      <c r="J238" s="14"/>
      <c r="K238" s="14"/>
      <c r="L238" s="14" t="s">
        <v>8</v>
      </c>
    </row>
    <row r="239" customFormat="false" ht="15" hidden="false" customHeight="false" outlineLevel="0" collapsed="false">
      <c r="A239" s="14" t="s">
        <v>990</v>
      </c>
      <c r="B239" s="14" t="s">
        <v>26</v>
      </c>
      <c r="C239" s="14" t="s">
        <v>45</v>
      </c>
      <c r="D239" s="14" t="s">
        <v>63</v>
      </c>
      <c r="E239" s="14" t="s">
        <v>58</v>
      </c>
      <c r="F239" s="14" t="s">
        <v>991</v>
      </c>
      <c r="G239" s="14" t="s">
        <v>992</v>
      </c>
      <c r="H239" s="14" t="s">
        <v>993</v>
      </c>
      <c r="I239" s="14"/>
      <c r="J239" s="14"/>
      <c r="K239" s="14"/>
      <c r="L239" s="14" t="s">
        <v>8</v>
      </c>
    </row>
    <row r="240" customFormat="false" ht="23.85" hidden="false" customHeight="false" outlineLevel="0" collapsed="false">
      <c r="A240" s="14" t="s">
        <v>994</v>
      </c>
      <c r="B240" s="14" t="s">
        <v>26</v>
      </c>
      <c r="C240" s="14" t="s">
        <v>45</v>
      </c>
      <c r="D240" s="14" t="s">
        <v>63</v>
      </c>
      <c r="E240" s="14" t="s">
        <v>58</v>
      </c>
      <c r="F240" s="14" t="s">
        <v>995</v>
      </c>
      <c r="G240" s="14" t="s">
        <v>996</v>
      </c>
      <c r="H240" s="14" t="s">
        <v>997</v>
      </c>
      <c r="I240" s="14"/>
      <c r="J240" s="14"/>
      <c r="K240" s="14"/>
      <c r="L240" s="14" t="s">
        <v>8</v>
      </c>
    </row>
    <row r="241" customFormat="false" ht="23.85" hidden="false" customHeight="false" outlineLevel="0" collapsed="false">
      <c r="A241" s="14" t="s">
        <v>998</v>
      </c>
      <c r="B241" s="14" t="s">
        <v>26</v>
      </c>
      <c r="C241" s="14" t="s">
        <v>45</v>
      </c>
      <c r="D241" s="14" t="s">
        <v>63</v>
      </c>
      <c r="E241" s="14" t="s">
        <v>58</v>
      </c>
      <c r="F241" s="14" t="s">
        <v>999</v>
      </c>
      <c r="G241" s="14" t="s">
        <v>1000</v>
      </c>
      <c r="H241" s="14" t="s">
        <v>1001</v>
      </c>
      <c r="I241" s="14"/>
      <c r="J241" s="14"/>
      <c r="K241" s="14"/>
      <c r="L241" s="14" t="s">
        <v>8</v>
      </c>
    </row>
    <row r="242" customFormat="false" ht="15" hidden="false" customHeight="false" outlineLevel="0" collapsed="false">
      <c r="A242" s="14" t="s">
        <v>1002</v>
      </c>
      <c r="B242" s="14" t="s">
        <v>26</v>
      </c>
      <c r="C242" s="14" t="s">
        <v>141</v>
      </c>
      <c r="D242" s="14" t="s">
        <v>63</v>
      </c>
      <c r="E242" s="14" t="s">
        <v>58</v>
      </c>
      <c r="F242" s="14" t="s">
        <v>1003</v>
      </c>
      <c r="G242" s="14" t="s">
        <v>1004</v>
      </c>
      <c r="H242" s="14" t="s">
        <v>1005</v>
      </c>
      <c r="I242" s="14"/>
      <c r="J242" s="14"/>
      <c r="K242" s="14"/>
      <c r="L242" s="14" t="s">
        <v>8</v>
      </c>
    </row>
  </sheetData>
  <autoFilter ref="A1:L242"/>
  <conditionalFormatting sqref="L2:L242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false" errorStyle="stop" operator="between" showDropDown="false" showErrorMessage="false" showInputMessage="false" sqref="L2:L242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5" min="4" style="0" width="5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3" t="s">
        <v>1006</v>
      </c>
      <c r="B1" s="13" t="s">
        <v>1007</v>
      </c>
      <c r="C1" s="13" t="s">
        <v>1008</v>
      </c>
      <c r="D1" s="13" t="s">
        <v>1009</v>
      </c>
      <c r="E1" s="13" t="s">
        <v>1010</v>
      </c>
      <c r="F1" s="13" t="s">
        <v>1011</v>
      </c>
    </row>
    <row r="2" customFormat="false" ht="35.05" hidden="false" customHeight="false" outlineLevel="0" collapsed="false">
      <c r="A2" s="14" t="s">
        <v>1012</v>
      </c>
      <c r="B2" s="15" t="s">
        <v>1013</v>
      </c>
      <c r="C2" s="14" t="s">
        <v>1014</v>
      </c>
      <c r="D2" s="14" t="s">
        <v>1015</v>
      </c>
      <c r="E2" s="14" t="s">
        <v>1016</v>
      </c>
      <c r="F2" s="14" t="s">
        <v>1017</v>
      </c>
    </row>
    <row r="3" customFormat="false" ht="23.85" hidden="false" customHeight="false" outlineLevel="0" collapsed="false">
      <c r="A3" s="14" t="s">
        <v>1018</v>
      </c>
      <c r="B3" s="15" t="s">
        <v>1013</v>
      </c>
      <c r="C3" s="14" t="s">
        <v>1019</v>
      </c>
      <c r="D3" s="14" t="s">
        <v>1020</v>
      </c>
      <c r="E3" s="14" t="s">
        <v>1021</v>
      </c>
      <c r="F3" s="14" t="s">
        <v>1022</v>
      </c>
    </row>
    <row r="4" customFormat="false" ht="35.05" hidden="false" customHeight="false" outlineLevel="0" collapsed="false">
      <c r="A4" s="14" t="s">
        <v>1023</v>
      </c>
      <c r="B4" s="16" t="s">
        <v>1024</v>
      </c>
      <c r="C4" s="14" t="s">
        <v>1025</v>
      </c>
      <c r="D4" s="14" t="s">
        <v>1026</v>
      </c>
      <c r="E4" s="14" t="s">
        <v>1027</v>
      </c>
      <c r="F4" s="14" t="s">
        <v>1028</v>
      </c>
    </row>
    <row r="5" customFormat="false" ht="23.85" hidden="false" customHeight="false" outlineLevel="0" collapsed="false">
      <c r="A5" s="14" t="s">
        <v>1029</v>
      </c>
      <c r="B5" s="16" t="s">
        <v>1024</v>
      </c>
      <c r="C5" s="14" t="s">
        <v>1030</v>
      </c>
      <c r="D5" s="14" t="s">
        <v>1031</v>
      </c>
      <c r="E5" s="14" t="s">
        <v>1032</v>
      </c>
      <c r="F5" s="14" t="s">
        <v>1033</v>
      </c>
    </row>
    <row r="6" customFormat="false" ht="35.05" hidden="false" customHeight="false" outlineLevel="0" collapsed="false">
      <c r="A6" s="14" t="s">
        <v>1034</v>
      </c>
      <c r="B6" s="16" t="s">
        <v>1024</v>
      </c>
      <c r="C6" s="14" t="s">
        <v>1035</v>
      </c>
      <c r="D6" s="14" t="s">
        <v>1036</v>
      </c>
      <c r="E6" s="14" t="s">
        <v>1037</v>
      </c>
      <c r="F6" s="14" t="s">
        <v>1038</v>
      </c>
    </row>
    <row r="7" customFormat="false" ht="23.85" hidden="false" customHeight="false" outlineLevel="0" collapsed="false">
      <c r="A7" s="14" t="s">
        <v>1039</v>
      </c>
      <c r="B7" s="16" t="s">
        <v>1024</v>
      </c>
      <c r="C7" s="14" t="s">
        <v>1040</v>
      </c>
      <c r="D7" s="14" t="s">
        <v>1041</v>
      </c>
      <c r="E7" s="14" t="s">
        <v>1042</v>
      </c>
      <c r="F7" s="14" t="s">
        <v>1043</v>
      </c>
    </row>
    <row r="8" customFormat="false" ht="15" hidden="false" customHeight="false" outlineLevel="0" collapsed="false">
      <c r="A8" s="14" t="s">
        <v>1044</v>
      </c>
      <c r="B8" s="16" t="s">
        <v>1024</v>
      </c>
      <c r="C8" s="14" t="s">
        <v>1045</v>
      </c>
      <c r="D8" s="14" t="s">
        <v>1046</v>
      </c>
      <c r="E8" s="14" t="s">
        <v>1047</v>
      </c>
      <c r="F8" s="14" t="s">
        <v>1048</v>
      </c>
    </row>
    <row r="9" customFormat="false" ht="15" hidden="false" customHeight="false" outlineLevel="0" collapsed="false">
      <c r="A9" s="14" t="s">
        <v>1049</v>
      </c>
      <c r="B9" s="16" t="s">
        <v>1024</v>
      </c>
      <c r="C9" s="14" t="s">
        <v>1050</v>
      </c>
      <c r="D9" s="14" t="s">
        <v>1051</v>
      </c>
      <c r="E9" s="14" t="s">
        <v>1052</v>
      </c>
      <c r="F9" s="14" t="s">
        <v>1053</v>
      </c>
    </row>
    <row r="10" customFormat="false" ht="23.85" hidden="false" customHeight="false" outlineLevel="0" collapsed="false">
      <c r="A10" s="14" t="s">
        <v>1054</v>
      </c>
      <c r="B10" s="16" t="s">
        <v>1024</v>
      </c>
      <c r="C10" s="14" t="s">
        <v>1055</v>
      </c>
      <c r="D10" s="14" t="s">
        <v>1056</v>
      </c>
      <c r="E10" s="14" t="s">
        <v>1057</v>
      </c>
      <c r="F10" s="14" t="s">
        <v>1058</v>
      </c>
    </row>
    <row r="11" customFormat="false" ht="23.85" hidden="false" customHeight="false" outlineLevel="0" collapsed="false">
      <c r="A11" s="14" t="s">
        <v>1059</v>
      </c>
      <c r="B11" s="16" t="s">
        <v>1024</v>
      </c>
      <c r="C11" s="14" t="s">
        <v>1060</v>
      </c>
      <c r="D11" s="14" t="s">
        <v>1061</v>
      </c>
      <c r="E11" s="14" t="s">
        <v>1062</v>
      </c>
      <c r="F11" s="14" t="s">
        <v>1063</v>
      </c>
    </row>
    <row r="12" customFormat="false" ht="23.85" hidden="false" customHeight="false" outlineLevel="0" collapsed="false">
      <c r="A12" s="14" t="s">
        <v>1064</v>
      </c>
      <c r="B12" s="16" t="s">
        <v>1024</v>
      </c>
      <c r="C12" s="14" t="s">
        <v>1065</v>
      </c>
      <c r="D12" s="14" t="s">
        <v>1066</v>
      </c>
      <c r="E12" s="14" t="s">
        <v>1067</v>
      </c>
      <c r="F12" s="14" t="s">
        <v>1068</v>
      </c>
    </row>
    <row r="13" customFormat="false" ht="15" hidden="false" customHeight="false" outlineLevel="0" collapsed="false">
      <c r="A13" s="14" t="s">
        <v>1069</v>
      </c>
      <c r="B13" s="17" t="s">
        <v>1070</v>
      </c>
      <c r="C13" s="14" t="s">
        <v>1071</v>
      </c>
      <c r="D13" s="14" t="s">
        <v>1072</v>
      </c>
      <c r="E13" s="14" t="s">
        <v>1073</v>
      </c>
      <c r="F13" s="14" t="s">
        <v>79</v>
      </c>
    </row>
    <row r="14" customFormat="false" ht="23.85" hidden="false" customHeight="false" outlineLevel="0" collapsed="false">
      <c r="A14" s="14" t="s">
        <v>1074</v>
      </c>
      <c r="B14" s="16" t="s">
        <v>1024</v>
      </c>
      <c r="C14" s="14" t="s">
        <v>1075</v>
      </c>
      <c r="D14" s="14" t="s">
        <v>1076</v>
      </c>
      <c r="E14" s="14" t="s">
        <v>1077</v>
      </c>
      <c r="F14" s="14" t="s">
        <v>1078</v>
      </c>
    </row>
    <row r="15" customFormat="false" ht="23.85" hidden="false" customHeight="false" outlineLevel="0" collapsed="false">
      <c r="A15" s="14" t="s">
        <v>1079</v>
      </c>
      <c r="B15" s="16" t="s">
        <v>1024</v>
      </c>
      <c r="C15" s="14" t="s">
        <v>1080</v>
      </c>
      <c r="D15" s="14" t="s">
        <v>1081</v>
      </c>
      <c r="E15" s="14" t="s">
        <v>1082</v>
      </c>
      <c r="F15" s="14" t="s">
        <v>1083</v>
      </c>
    </row>
    <row r="16" customFormat="false" ht="23.85" hidden="false" customHeight="false" outlineLevel="0" collapsed="false">
      <c r="A16" s="14" t="s">
        <v>1084</v>
      </c>
      <c r="B16" s="16" t="s">
        <v>1024</v>
      </c>
      <c r="C16" s="14" t="s">
        <v>1085</v>
      </c>
      <c r="D16" s="14" t="s">
        <v>1086</v>
      </c>
      <c r="E16" s="14" t="s">
        <v>1087</v>
      </c>
      <c r="F16" s="14" t="s">
        <v>1088</v>
      </c>
    </row>
    <row r="17" customFormat="false" ht="15" hidden="false" customHeight="false" outlineLevel="0" collapsed="false">
      <c r="A17" s="14" t="s">
        <v>1089</v>
      </c>
      <c r="B17" s="16" t="s">
        <v>1024</v>
      </c>
      <c r="C17" s="14" t="s">
        <v>1090</v>
      </c>
      <c r="D17" s="14" t="s">
        <v>1086</v>
      </c>
      <c r="E17" s="14" t="s">
        <v>1091</v>
      </c>
      <c r="F17" s="14" t="s">
        <v>1092</v>
      </c>
    </row>
    <row r="18" customFormat="false" ht="15" hidden="false" customHeight="false" outlineLevel="0" collapsed="false">
      <c r="A18" s="14" t="s">
        <v>1093</v>
      </c>
      <c r="B18" s="17" t="s">
        <v>1070</v>
      </c>
      <c r="C18" s="14" t="s">
        <v>1094</v>
      </c>
      <c r="D18" s="14" t="s">
        <v>1095</v>
      </c>
      <c r="E18" s="14" t="s">
        <v>1096</v>
      </c>
      <c r="F18" s="14" t="s">
        <v>1097</v>
      </c>
    </row>
    <row r="19" customFormat="false" ht="15" hidden="false" customHeight="false" outlineLevel="0" collapsed="false">
      <c r="A19" s="14" t="s">
        <v>1098</v>
      </c>
      <c r="B19" s="17" t="s">
        <v>1070</v>
      </c>
      <c r="C19" s="14" t="s">
        <v>1099</v>
      </c>
      <c r="D19" s="14" t="s">
        <v>1100</v>
      </c>
      <c r="E19" s="14" t="s">
        <v>1101</v>
      </c>
      <c r="F19" s="14" t="s">
        <v>1102</v>
      </c>
    </row>
    <row r="20" customFormat="false" ht="23.85" hidden="false" customHeight="false" outlineLevel="0" collapsed="false">
      <c r="A20" s="14" t="s">
        <v>1103</v>
      </c>
      <c r="B20" s="16" t="s">
        <v>1024</v>
      </c>
      <c r="C20" s="14" t="s">
        <v>1104</v>
      </c>
      <c r="D20" s="14" t="s">
        <v>1105</v>
      </c>
      <c r="E20" s="14" t="s">
        <v>1106</v>
      </c>
      <c r="F20" s="14" t="s">
        <v>1107</v>
      </c>
    </row>
    <row r="21" customFormat="false" ht="15" hidden="false" customHeight="false" outlineLevel="0" collapsed="false">
      <c r="A21" s="14" t="s">
        <v>1108</v>
      </c>
      <c r="B21" s="17" t="s">
        <v>1070</v>
      </c>
      <c r="C21" s="14" t="s">
        <v>1109</v>
      </c>
      <c r="D21" s="14" t="s">
        <v>1110</v>
      </c>
      <c r="E21" s="14" t="s">
        <v>1111</v>
      </c>
      <c r="F21" s="14" t="s">
        <v>1112</v>
      </c>
    </row>
    <row r="22" customFormat="false" ht="35.05" hidden="false" customHeight="false" outlineLevel="0" collapsed="false">
      <c r="A22" s="14" t="s">
        <v>1113</v>
      </c>
      <c r="B22" s="16" t="s">
        <v>1024</v>
      </c>
      <c r="C22" s="14" t="s">
        <v>1114</v>
      </c>
      <c r="D22" s="14" t="s">
        <v>1115</v>
      </c>
      <c r="E22" s="14" t="s">
        <v>1116</v>
      </c>
      <c r="F22" s="14" t="s">
        <v>1117</v>
      </c>
    </row>
    <row r="23" customFormat="false" ht="23.85" hidden="false" customHeight="false" outlineLevel="0" collapsed="false">
      <c r="A23" s="14" t="s">
        <v>1118</v>
      </c>
      <c r="B23" s="17" t="s">
        <v>1070</v>
      </c>
      <c r="C23" s="14" t="s">
        <v>1119</v>
      </c>
      <c r="D23" s="14" t="s">
        <v>1120</v>
      </c>
      <c r="E23" s="14" t="s">
        <v>1121</v>
      </c>
      <c r="F23" s="14" t="s">
        <v>1122</v>
      </c>
    </row>
    <row r="25" customFormat="false" ht="15" hidden="false" customHeight="false" outlineLevel="0" collapsed="false">
      <c r="A25" s="2" t="s">
        <v>1123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2026-10-14T06:58:22Z</dcterms:created>
  <dc:creator>openpyxl</dc:creator>
  <dc:description/>
  <dc:language>en-US</dc:language>
  <cp:lastModifiedBy/>
  <dcterms:modified xsi:type="dcterms:W3CDTF">2026-10-14T06:58:22Z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